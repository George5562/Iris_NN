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ef6762510f3343b/Personal/Projects/"/>
    </mc:Choice>
  </mc:AlternateContent>
  <xr:revisionPtr revIDLastSave="50" documentId="8_{63DC543C-DAA5-4339-9DEF-88D99F9E309A}" xr6:coauthVersionLast="47" xr6:coauthVersionMax="47" xr10:uidLastSave="{5C03342A-21C1-432F-A93B-4B8896F081A5}"/>
  <bookViews>
    <workbookView xWindow="0" yWindow="0" windowWidth="19200" windowHeight="21000" activeTab="3" xr2:uid="{42FB0893-0296-4B1F-B424-1E1B7A001456}"/>
    <workbookView xWindow="19200" yWindow="0" windowWidth="19200" windowHeight="21000" activeTab="2" xr2:uid="{25F378B1-B0FD-4969-A06A-BE96590EECAA}"/>
  </bookViews>
  <sheets>
    <sheet name="Dashboard" sheetId="2" r:id="rId1"/>
    <sheet name="Data" sheetId="1" r:id="rId2"/>
    <sheet name="1" sheetId="3" r:id="rId3"/>
    <sheet name="2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4" s="1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M10" i="1"/>
  <c r="N10" i="1"/>
  <c r="O10" i="1"/>
  <c r="M11" i="1"/>
  <c r="N11" i="1"/>
  <c r="O11" i="1"/>
  <c r="M12" i="1"/>
  <c r="N12" i="1"/>
  <c r="O12" i="1"/>
  <c r="M13" i="1"/>
  <c r="N13" i="1"/>
  <c r="O13" i="1"/>
  <c r="M14" i="1"/>
  <c r="N14" i="1"/>
  <c r="O14" i="1"/>
  <c r="M15" i="1"/>
  <c r="N15" i="1"/>
  <c r="O15" i="1"/>
  <c r="M16" i="1"/>
  <c r="N16" i="1"/>
  <c r="O16" i="1"/>
  <c r="M17" i="1"/>
  <c r="N17" i="1"/>
  <c r="O17" i="1"/>
  <c r="M18" i="1"/>
  <c r="N18" i="1"/>
  <c r="O18" i="1"/>
  <c r="M19" i="1"/>
  <c r="N19" i="1"/>
  <c r="O19" i="1"/>
  <c r="M20" i="1"/>
  <c r="N20" i="1"/>
  <c r="O20" i="1"/>
  <c r="M21" i="1"/>
  <c r="N21" i="1"/>
  <c r="O21" i="1"/>
  <c r="M22" i="1"/>
  <c r="N22" i="1"/>
  <c r="O22" i="1"/>
  <c r="M23" i="1"/>
  <c r="N23" i="1"/>
  <c r="O23" i="1"/>
  <c r="M24" i="1"/>
  <c r="N24" i="1"/>
  <c r="O24" i="1"/>
  <c r="M25" i="1"/>
  <c r="N25" i="1"/>
  <c r="O25" i="1"/>
  <c r="M26" i="1"/>
  <c r="N26" i="1"/>
  <c r="O26" i="1"/>
  <c r="M27" i="1"/>
  <c r="N27" i="1"/>
  <c r="O27" i="1"/>
  <c r="M28" i="1"/>
  <c r="N28" i="1"/>
  <c r="O28" i="1"/>
  <c r="M29" i="1"/>
  <c r="N29" i="1"/>
  <c r="O29" i="1"/>
  <c r="M30" i="1"/>
  <c r="N30" i="1"/>
  <c r="O30" i="1"/>
  <c r="M31" i="1"/>
  <c r="N31" i="1"/>
  <c r="O31" i="1"/>
  <c r="M32" i="1"/>
  <c r="N32" i="1"/>
  <c r="O32" i="1"/>
  <c r="M33" i="1"/>
  <c r="N33" i="1"/>
  <c r="O33" i="1"/>
  <c r="M34" i="1"/>
  <c r="N34" i="1"/>
  <c r="O34" i="1"/>
  <c r="M35" i="1"/>
  <c r="N35" i="1"/>
  <c r="O35" i="1"/>
  <c r="M36" i="1"/>
  <c r="N36" i="1"/>
  <c r="O36" i="1"/>
  <c r="M37" i="1"/>
  <c r="N37" i="1"/>
  <c r="O37" i="1"/>
  <c r="M38" i="1"/>
  <c r="N38" i="1"/>
  <c r="O38" i="1"/>
  <c r="M39" i="1"/>
  <c r="N39" i="1"/>
  <c r="O39" i="1"/>
  <c r="M40" i="1"/>
  <c r="N40" i="1"/>
  <c r="O40" i="1"/>
  <c r="M41" i="1"/>
  <c r="N41" i="1"/>
  <c r="O41" i="1"/>
  <c r="M42" i="1"/>
  <c r="N42" i="1"/>
  <c r="O42" i="1"/>
  <c r="M43" i="1"/>
  <c r="N43" i="1"/>
  <c r="O43" i="1"/>
  <c r="M44" i="1"/>
  <c r="N44" i="1"/>
  <c r="O44" i="1"/>
  <c r="M45" i="1"/>
  <c r="N45" i="1"/>
  <c r="O45" i="1"/>
  <c r="M46" i="1"/>
  <c r="N46" i="1"/>
  <c r="O46" i="1"/>
  <c r="M47" i="1"/>
  <c r="N47" i="1"/>
  <c r="O47" i="1"/>
  <c r="M48" i="1"/>
  <c r="N48" i="1"/>
  <c r="O48" i="1"/>
  <c r="M49" i="1"/>
  <c r="N49" i="1"/>
  <c r="O49" i="1"/>
  <c r="M50" i="1"/>
  <c r="N50" i="1"/>
  <c r="O50" i="1"/>
  <c r="M51" i="1"/>
  <c r="N51" i="1"/>
  <c r="O51" i="1"/>
  <c r="M52" i="1"/>
  <c r="N52" i="1"/>
  <c r="O52" i="1"/>
  <c r="M53" i="1"/>
  <c r="N53" i="1"/>
  <c r="O53" i="1"/>
  <c r="M54" i="1"/>
  <c r="N54" i="1"/>
  <c r="O54" i="1"/>
  <c r="M55" i="1"/>
  <c r="N55" i="1"/>
  <c r="O55" i="1"/>
  <c r="M56" i="1"/>
  <c r="N56" i="1"/>
  <c r="O56" i="1"/>
  <c r="M57" i="1"/>
  <c r="N57" i="1"/>
  <c r="O57" i="1"/>
  <c r="M58" i="1"/>
  <c r="N58" i="1"/>
  <c r="O58" i="1"/>
  <c r="M59" i="1"/>
  <c r="N59" i="1"/>
  <c r="O59" i="1"/>
  <c r="M60" i="1"/>
  <c r="N60" i="1"/>
  <c r="O60" i="1"/>
  <c r="M61" i="1"/>
  <c r="N61" i="1"/>
  <c r="O61" i="1"/>
  <c r="M62" i="1"/>
  <c r="N62" i="1"/>
  <c r="O62" i="1"/>
  <c r="M63" i="1"/>
  <c r="N63" i="1"/>
  <c r="O63" i="1"/>
  <c r="M64" i="1"/>
  <c r="N64" i="1"/>
  <c r="O64" i="1"/>
  <c r="M65" i="1"/>
  <c r="N65" i="1"/>
  <c r="O65" i="1"/>
  <c r="M66" i="1"/>
  <c r="N66" i="1"/>
  <c r="O66" i="1"/>
  <c r="M67" i="1"/>
  <c r="N67" i="1"/>
  <c r="O67" i="1"/>
  <c r="M68" i="1"/>
  <c r="N68" i="1"/>
  <c r="O68" i="1"/>
  <c r="M69" i="1"/>
  <c r="N69" i="1"/>
  <c r="O69" i="1"/>
  <c r="M70" i="1"/>
  <c r="N70" i="1"/>
  <c r="O70" i="1"/>
  <c r="M71" i="1"/>
  <c r="N71" i="1"/>
  <c r="O71" i="1"/>
  <c r="M72" i="1"/>
  <c r="N72" i="1"/>
  <c r="O72" i="1"/>
  <c r="M73" i="1"/>
  <c r="N73" i="1"/>
  <c r="O73" i="1"/>
  <c r="M74" i="1"/>
  <c r="N74" i="1"/>
  <c r="O74" i="1"/>
  <c r="M75" i="1"/>
  <c r="N75" i="1"/>
  <c r="O75" i="1"/>
  <c r="M76" i="1"/>
  <c r="N76" i="1"/>
  <c r="O76" i="1"/>
  <c r="M77" i="1"/>
  <c r="N77" i="1"/>
  <c r="O77" i="1"/>
  <c r="M78" i="1"/>
  <c r="N78" i="1"/>
  <c r="O78" i="1"/>
  <c r="M79" i="1"/>
  <c r="N79" i="1"/>
  <c r="O79" i="1"/>
  <c r="M80" i="1"/>
  <c r="N80" i="1"/>
  <c r="O80" i="1"/>
  <c r="M81" i="1"/>
  <c r="N81" i="1"/>
  <c r="O81" i="1"/>
  <c r="M82" i="1"/>
  <c r="N82" i="1"/>
  <c r="O82" i="1"/>
  <c r="M83" i="1"/>
  <c r="N83" i="1"/>
  <c r="O83" i="1"/>
  <c r="M84" i="1"/>
  <c r="N84" i="1"/>
  <c r="O84" i="1"/>
  <c r="M85" i="1"/>
  <c r="N85" i="1"/>
  <c r="O85" i="1"/>
  <c r="M86" i="1"/>
  <c r="N86" i="1"/>
  <c r="O86" i="1"/>
  <c r="M87" i="1"/>
  <c r="N87" i="1"/>
  <c r="O87" i="1"/>
  <c r="M88" i="1"/>
  <c r="N88" i="1"/>
  <c r="O88" i="1"/>
  <c r="M89" i="1"/>
  <c r="N89" i="1"/>
  <c r="O89" i="1"/>
  <c r="M90" i="1"/>
  <c r="N90" i="1"/>
  <c r="O90" i="1"/>
  <c r="M91" i="1"/>
  <c r="N91" i="1"/>
  <c r="O91" i="1"/>
  <c r="M92" i="1"/>
  <c r="N92" i="1"/>
  <c r="O92" i="1"/>
  <c r="M93" i="1"/>
  <c r="N93" i="1"/>
  <c r="O93" i="1"/>
  <c r="M94" i="1"/>
  <c r="N94" i="1"/>
  <c r="O94" i="1"/>
  <c r="M95" i="1"/>
  <c r="N95" i="1"/>
  <c r="O95" i="1"/>
  <c r="M96" i="1"/>
  <c r="N96" i="1"/>
  <c r="O96" i="1"/>
  <c r="M97" i="1"/>
  <c r="N97" i="1"/>
  <c r="O97" i="1"/>
  <c r="M98" i="1"/>
  <c r="N98" i="1"/>
  <c r="O98" i="1"/>
  <c r="M99" i="1"/>
  <c r="N99" i="1"/>
  <c r="O99" i="1"/>
  <c r="M100" i="1"/>
  <c r="N100" i="1"/>
  <c r="O100" i="1"/>
  <c r="M101" i="1"/>
  <c r="N101" i="1"/>
  <c r="O101" i="1"/>
  <c r="M102" i="1"/>
  <c r="N102" i="1"/>
  <c r="O102" i="1"/>
  <c r="M103" i="1"/>
  <c r="N103" i="1"/>
  <c r="O103" i="1"/>
  <c r="M104" i="1"/>
  <c r="N104" i="1"/>
  <c r="O104" i="1"/>
  <c r="M105" i="1"/>
  <c r="N105" i="1"/>
  <c r="O105" i="1"/>
  <c r="M106" i="1"/>
  <c r="N106" i="1"/>
  <c r="O106" i="1"/>
  <c r="M107" i="1"/>
  <c r="N107" i="1"/>
  <c r="O107" i="1"/>
  <c r="M108" i="1"/>
  <c r="N108" i="1"/>
  <c r="O108" i="1"/>
  <c r="M109" i="1"/>
  <c r="N109" i="1"/>
  <c r="O109" i="1"/>
  <c r="M110" i="1"/>
  <c r="N110" i="1"/>
  <c r="O110" i="1"/>
  <c r="M111" i="1"/>
  <c r="N111" i="1"/>
  <c r="O111" i="1"/>
  <c r="M112" i="1"/>
  <c r="N112" i="1"/>
  <c r="O112" i="1"/>
  <c r="M113" i="1"/>
  <c r="N113" i="1"/>
  <c r="O113" i="1"/>
  <c r="M114" i="1"/>
  <c r="N114" i="1"/>
  <c r="O114" i="1"/>
  <c r="M115" i="1"/>
  <c r="N115" i="1"/>
  <c r="O115" i="1"/>
  <c r="M116" i="1"/>
  <c r="N116" i="1"/>
  <c r="O116" i="1"/>
  <c r="M117" i="1"/>
  <c r="N117" i="1"/>
  <c r="O117" i="1"/>
  <c r="M118" i="1"/>
  <c r="N118" i="1"/>
  <c r="O118" i="1"/>
  <c r="M119" i="1"/>
  <c r="N119" i="1"/>
  <c r="O119" i="1"/>
  <c r="M120" i="1"/>
  <c r="N120" i="1"/>
  <c r="O120" i="1"/>
  <c r="M121" i="1"/>
  <c r="N121" i="1"/>
  <c r="O121" i="1"/>
  <c r="M122" i="1"/>
  <c r="N122" i="1"/>
  <c r="O122" i="1"/>
  <c r="M123" i="1"/>
  <c r="N123" i="1"/>
  <c r="O123" i="1"/>
  <c r="M124" i="1"/>
  <c r="N124" i="1"/>
  <c r="O124" i="1"/>
  <c r="M125" i="1"/>
  <c r="N125" i="1"/>
  <c r="O125" i="1"/>
  <c r="M126" i="1"/>
  <c r="N126" i="1"/>
  <c r="O126" i="1"/>
  <c r="M127" i="1"/>
  <c r="N127" i="1"/>
  <c r="O127" i="1"/>
  <c r="M128" i="1"/>
  <c r="N128" i="1"/>
  <c r="O128" i="1"/>
  <c r="M129" i="1"/>
  <c r="N129" i="1"/>
  <c r="O129" i="1"/>
  <c r="M130" i="1"/>
  <c r="N130" i="1"/>
  <c r="O130" i="1"/>
  <c r="M131" i="1"/>
  <c r="N131" i="1"/>
  <c r="O131" i="1"/>
  <c r="M132" i="1"/>
  <c r="N132" i="1"/>
  <c r="O132" i="1"/>
  <c r="M133" i="1"/>
  <c r="N133" i="1"/>
  <c r="O133" i="1"/>
  <c r="M134" i="1"/>
  <c r="N134" i="1"/>
  <c r="O134" i="1"/>
  <c r="M135" i="1"/>
  <c r="N135" i="1"/>
  <c r="O135" i="1"/>
  <c r="M136" i="1"/>
  <c r="N136" i="1"/>
  <c r="O136" i="1"/>
  <c r="M137" i="1"/>
  <c r="N137" i="1"/>
  <c r="O137" i="1"/>
  <c r="M138" i="1"/>
  <c r="N138" i="1"/>
  <c r="O138" i="1"/>
  <c r="M139" i="1"/>
  <c r="N139" i="1"/>
  <c r="O139" i="1"/>
  <c r="M140" i="1"/>
  <c r="N140" i="1"/>
  <c r="O140" i="1"/>
  <c r="M141" i="1"/>
  <c r="N141" i="1"/>
  <c r="O141" i="1"/>
  <c r="M142" i="1"/>
  <c r="N142" i="1"/>
  <c r="O142" i="1"/>
  <c r="M143" i="1"/>
  <c r="N143" i="1"/>
  <c r="O143" i="1"/>
  <c r="M144" i="1"/>
  <c r="N144" i="1"/>
  <c r="O144" i="1"/>
  <c r="M145" i="1"/>
  <c r="N145" i="1"/>
  <c r="O145" i="1"/>
  <c r="M146" i="1"/>
  <c r="N146" i="1"/>
  <c r="O146" i="1"/>
  <c r="M147" i="1"/>
  <c r="N147" i="1"/>
  <c r="O147" i="1"/>
  <c r="M148" i="1"/>
  <c r="N148" i="1"/>
  <c r="O148" i="1"/>
  <c r="M149" i="1"/>
  <c r="N149" i="1"/>
  <c r="O149" i="1"/>
  <c r="M150" i="1"/>
  <c r="N150" i="1"/>
  <c r="O150" i="1"/>
  <c r="M151" i="1"/>
  <c r="N151" i="1"/>
  <c r="O151" i="1"/>
  <c r="M152" i="1"/>
  <c r="N152" i="1"/>
  <c r="O152" i="1"/>
  <c r="M153" i="1"/>
  <c r="N153" i="1"/>
  <c r="O153" i="1"/>
  <c r="M154" i="1"/>
  <c r="N154" i="1"/>
  <c r="O154" i="1"/>
  <c r="M155" i="1"/>
  <c r="N155" i="1"/>
  <c r="O155" i="1"/>
  <c r="M156" i="1"/>
  <c r="N156" i="1"/>
  <c r="O156" i="1"/>
  <c r="M157" i="1"/>
  <c r="N157" i="1"/>
  <c r="O157" i="1"/>
  <c r="M158" i="1"/>
  <c r="N158" i="1"/>
  <c r="O158" i="1"/>
  <c r="N9" i="1"/>
  <c r="O9" i="1"/>
  <c r="M9" i="1"/>
  <c r="C5" i="1"/>
  <c r="D5" i="1"/>
  <c r="E5" i="1"/>
  <c r="C4" i="1"/>
  <c r="D4" i="1"/>
  <c r="E4" i="1"/>
  <c r="B5" i="1"/>
  <c r="B4" i="1"/>
  <c r="D6" i="4" a="1"/>
  <c r="D5" i="4" a="1"/>
  <c r="D4" i="4" a="1"/>
  <c r="D3" i="4" a="1"/>
  <c r="D2" i="4" a="1"/>
  <c r="C4" i="4" a="1"/>
  <c r="C5" i="4" a="1"/>
  <c r="C6" i="4" a="1"/>
  <c r="C3" i="4" a="1"/>
  <c r="C2" i="4" a="1"/>
  <c r="B6" i="4" a="1"/>
  <c r="B5" i="4" a="1"/>
  <c r="B4" i="4" a="1"/>
  <c r="B3" i="4" a="1"/>
  <c r="B2" i="4" a="1"/>
  <c r="D6" i="4" l="1"/>
  <c r="D5" i="4"/>
  <c r="D4" i="4"/>
  <c r="D3" i="4"/>
  <c r="D2" i="4"/>
  <c r="C4" i="4"/>
  <c r="C5" i="4"/>
  <c r="C6" i="4"/>
  <c r="C3" i="4"/>
  <c r="C2" i="4"/>
  <c r="B6" i="4"/>
  <c r="B5" i="4"/>
  <c r="B4" i="4"/>
  <c r="B3" i="4"/>
  <c r="B2" i="4"/>
  <c r="D91" i="3"/>
  <c r="G91" i="3" s="1"/>
  <c r="C117" i="3"/>
  <c r="F117" i="3" s="1"/>
  <c r="B92" i="3"/>
  <c r="E92" i="3" s="1"/>
  <c r="K34" i="1"/>
  <c r="L67" i="1"/>
  <c r="J154" i="1"/>
  <c r="D154" i="3" s="1"/>
  <c r="G154" i="3" s="1"/>
  <c r="K18" i="1"/>
  <c r="L20" i="1"/>
  <c r="L51" i="1"/>
  <c r="K150" i="1"/>
  <c r="L109" i="1"/>
  <c r="L101" i="1"/>
  <c r="L93" i="1"/>
  <c r="L77" i="1"/>
  <c r="K134" i="1"/>
  <c r="J78" i="1"/>
  <c r="K126" i="1"/>
  <c r="K90" i="1"/>
  <c r="K44" i="1"/>
  <c r="L117" i="1"/>
  <c r="K118" i="1"/>
  <c r="L85" i="1"/>
  <c r="K56" i="1"/>
  <c r="K110" i="1"/>
  <c r="K82" i="1"/>
  <c r="K28" i="1"/>
  <c r="I9" i="1"/>
  <c r="D9" i="3" s="1"/>
  <c r="G9" i="3" s="1"/>
  <c r="L155" i="1"/>
  <c r="K106" i="1"/>
  <c r="K74" i="1"/>
  <c r="K12" i="1"/>
  <c r="K142" i="1"/>
  <c r="K98" i="1"/>
  <c r="K60" i="1"/>
  <c r="L95" i="1"/>
  <c r="L70" i="1"/>
  <c r="J156" i="1"/>
  <c r="L149" i="1"/>
  <c r="L141" i="1"/>
  <c r="L133" i="1"/>
  <c r="L125" i="1"/>
  <c r="J110" i="1"/>
  <c r="K102" i="1"/>
  <c r="K94" i="1"/>
  <c r="K86" i="1"/>
  <c r="K78" i="1"/>
  <c r="K70" i="1"/>
  <c r="K54" i="1"/>
  <c r="K36" i="1"/>
  <c r="K20" i="1"/>
  <c r="J124" i="1"/>
  <c r="L14" i="1"/>
  <c r="K154" i="1"/>
  <c r="L147" i="1"/>
  <c r="L139" i="1"/>
  <c r="L131" i="1"/>
  <c r="L123" i="1"/>
  <c r="L115" i="1"/>
  <c r="J108" i="1"/>
  <c r="J100" i="1"/>
  <c r="J92" i="1"/>
  <c r="J84" i="1"/>
  <c r="J76" i="1"/>
  <c r="L65" i="1"/>
  <c r="L49" i="1"/>
  <c r="K32" i="1"/>
  <c r="K16" i="1"/>
  <c r="J140" i="1"/>
  <c r="K146" i="1"/>
  <c r="K138" i="1"/>
  <c r="K130" i="1"/>
  <c r="K122" i="1"/>
  <c r="K114" i="1"/>
  <c r="L107" i="1"/>
  <c r="L99" i="1"/>
  <c r="L91" i="1"/>
  <c r="L83" i="1"/>
  <c r="L75" i="1"/>
  <c r="K62" i="1"/>
  <c r="K46" i="1"/>
  <c r="L28" i="1"/>
  <c r="L12" i="1"/>
  <c r="J116" i="1"/>
  <c r="J9" i="1"/>
  <c r="L121" i="1"/>
  <c r="L153" i="1"/>
  <c r="L137" i="1"/>
  <c r="L113" i="1"/>
  <c r="K158" i="1"/>
  <c r="J152" i="1"/>
  <c r="J144" i="1"/>
  <c r="J136" i="1"/>
  <c r="J128" i="1"/>
  <c r="J120" i="1"/>
  <c r="J112" i="1"/>
  <c r="L105" i="1"/>
  <c r="L97" i="1"/>
  <c r="L89" i="1"/>
  <c r="L81" i="1"/>
  <c r="L72" i="1"/>
  <c r="K58" i="1"/>
  <c r="K42" i="1"/>
  <c r="K26" i="1"/>
  <c r="J148" i="1"/>
  <c r="L145" i="1"/>
  <c r="L129" i="1"/>
  <c r="J158" i="1"/>
  <c r="L151" i="1"/>
  <c r="L143" i="1"/>
  <c r="L135" i="1"/>
  <c r="L127" i="1"/>
  <c r="L119" i="1"/>
  <c r="L111" i="1"/>
  <c r="J104" i="1"/>
  <c r="J96" i="1"/>
  <c r="J88" i="1"/>
  <c r="J80" i="1"/>
  <c r="K72" i="1"/>
  <c r="L56" i="1"/>
  <c r="K40" i="1"/>
  <c r="K24" i="1"/>
  <c r="J132" i="1"/>
  <c r="L157" i="1"/>
  <c r="L103" i="1"/>
  <c r="L87" i="1"/>
  <c r="L79" i="1"/>
  <c r="L54" i="1"/>
  <c r="L36" i="1"/>
  <c r="L64" i="1"/>
  <c r="L59" i="1"/>
  <c r="L48" i="1"/>
  <c r="L43" i="1"/>
  <c r="I11" i="1"/>
  <c r="L158" i="1"/>
  <c r="L154" i="1"/>
  <c r="L150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L82" i="1"/>
  <c r="L78" i="1"/>
  <c r="L74" i="1"/>
  <c r="L69" i="1"/>
  <c r="K64" i="1"/>
  <c r="L58" i="1"/>
  <c r="L53" i="1"/>
  <c r="K48" i="1"/>
  <c r="L42" i="1"/>
  <c r="L34" i="1"/>
  <c r="L26" i="1"/>
  <c r="L18" i="1"/>
  <c r="L68" i="1"/>
  <c r="L63" i="1"/>
  <c r="L52" i="1"/>
  <c r="L47" i="1"/>
  <c r="J106" i="1"/>
  <c r="J102" i="1"/>
  <c r="J98" i="1"/>
  <c r="J94" i="1"/>
  <c r="J90" i="1"/>
  <c r="J86" i="1"/>
  <c r="J82" i="1"/>
  <c r="L73" i="1"/>
  <c r="K68" i="1"/>
  <c r="L62" i="1"/>
  <c r="L57" i="1"/>
  <c r="K52" i="1"/>
  <c r="L46" i="1"/>
  <c r="L40" i="1"/>
  <c r="L32" i="1"/>
  <c r="L24" i="1"/>
  <c r="L16" i="1"/>
  <c r="J56" i="1"/>
  <c r="J58" i="1"/>
  <c r="J60" i="1"/>
  <c r="J62" i="1"/>
  <c r="J64" i="1"/>
  <c r="J66" i="1"/>
  <c r="J68" i="1"/>
  <c r="J70" i="1"/>
  <c r="J72" i="1"/>
  <c r="J74" i="1"/>
  <c r="J54" i="1"/>
  <c r="L61" i="1"/>
  <c r="L50" i="1"/>
  <c r="L45" i="1"/>
  <c r="L38" i="1"/>
  <c r="L30" i="1"/>
  <c r="L22" i="1"/>
  <c r="J150" i="1"/>
  <c r="J146" i="1"/>
  <c r="J142" i="1"/>
  <c r="J138" i="1"/>
  <c r="J134" i="1"/>
  <c r="J130" i="1"/>
  <c r="J126" i="1"/>
  <c r="J122" i="1"/>
  <c r="J118" i="1"/>
  <c r="J114" i="1"/>
  <c r="L10" i="1"/>
  <c r="L15" i="1"/>
  <c r="L19" i="1"/>
  <c r="L23" i="1"/>
  <c r="L27" i="1"/>
  <c r="L31" i="1"/>
  <c r="L33" i="1"/>
  <c r="L37" i="1"/>
  <c r="L41" i="1"/>
  <c r="L17" i="1"/>
  <c r="L9" i="1"/>
  <c r="L13" i="1"/>
  <c r="L21" i="1"/>
  <c r="L25" i="1"/>
  <c r="L29" i="1"/>
  <c r="L35" i="1"/>
  <c r="L39" i="1"/>
  <c r="L11" i="1"/>
  <c r="L156" i="1"/>
  <c r="L152" i="1"/>
  <c r="L148" i="1"/>
  <c r="L144" i="1"/>
  <c r="L140" i="1"/>
  <c r="L136" i="1"/>
  <c r="L132" i="1"/>
  <c r="L128" i="1"/>
  <c r="L124" i="1"/>
  <c r="L120" i="1"/>
  <c r="L116" i="1"/>
  <c r="L112" i="1"/>
  <c r="L108" i="1"/>
  <c r="L104" i="1"/>
  <c r="L100" i="1"/>
  <c r="L96" i="1"/>
  <c r="L92" i="1"/>
  <c r="L88" i="1"/>
  <c r="L84" i="1"/>
  <c r="L80" i="1"/>
  <c r="L76" i="1"/>
  <c r="L66" i="1"/>
  <c r="K10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89" i="1"/>
  <c r="K91" i="1"/>
  <c r="K93" i="1"/>
  <c r="K95" i="1"/>
  <c r="K97" i="1"/>
  <c r="K99" i="1"/>
  <c r="K101" i="1"/>
  <c r="K103" i="1"/>
  <c r="K105" i="1"/>
  <c r="K107" i="1"/>
  <c r="K109" i="1"/>
  <c r="K111" i="1"/>
  <c r="K113" i="1"/>
  <c r="K115" i="1"/>
  <c r="K117" i="1"/>
  <c r="K119" i="1"/>
  <c r="K121" i="1"/>
  <c r="K123" i="1"/>
  <c r="K125" i="1"/>
  <c r="K127" i="1"/>
  <c r="K129" i="1"/>
  <c r="K131" i="1"/>
  <c r="K133" i="1"/>
  <c r="K135" i="1"/>
  <c r="K137" i="1"/>
  <c r="K139" i="1"/>
  <c r="K141" i="1"/>
  <c r="K143" i="1"/>
  <c r="K145" i="1"/>
  <c r="K147" i="1"/>
  <c r="K149" i="1"/>
  <c r="K151" i="1"/>
  <c r="K153" i="1"/>
  <c r="K155" i="1"/>
  <c r="K157" i="1"/>
  <c r="K156" i="1"/>
  <c r="K152" i="1"/>
  <c r="K148" i="1"/>
  <c r="K144" i="1"/>
  <c r="K140" i="1"/>
  <c r="K136" i="1"/>
  <c r="K132" i="1"/>
  <c r="K128" i="1"/>
  <c r="K124" i="1"/>
  <c r="K120" i="1"/>
  <c r="K116" i="1"/>
  <c r="K112" i="1"/>
  <c r="K108" i="1"/>
  <c r="K104" i="1"/>
  <c r="K100" i="1"/>
  <c r="K96" i="1"/>
  <c r="K92" i="1"/>
  <c r="K88" i="1"/>
  <c r="K84" i="1"/>
  <c r="K80" i="1"/>
  <c r="K76" i="1"/>
  <c r="L71" i="1"/>
  <c r="K66" i="1"/>
  <c r="L60" i="1"/>
  <c r="L55" i="1"/>
  <c r="K50" i="1"/>
  <c r="L44" i="1"/>
  <c r="K38" i="1"/>
  <c r="K30" i="1"/>
  <c r="K22" i="1"/>
  <c r="K14" i="1"/>
  <c r="J52" i="1"/>
  <c r="J50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12" i="1"/>
  <c r="J10" i="1"/>
  <c r="I158" i="1"/>
  <c r="I156" i="1"/>
  <c r="D156" i="3" s="1"/>
  <c r="G156" i="3" s="1"/>
  <c r="I154" i="1"/>
  <c r="I152" i="1"/>
  <c r="I150" i="1"/>
  <c r="I148" i="1"/>
  <c r="D148" i="3" s="1"/>
  <c r="G148" i="3" s="1"/>
  <c r="I146" i="1"/>
  <c r="C146" i="3" s="1"/>
  <c r="F146" i="3" s="1"/>
  <c r="I144" i="1"/>
  <c r="I142" i="1"/>
  <c r="D142" i="3" s="1"/>
  <c r="G142" i="3" s="1"/>
  <c r="I140" i="1"/>
  <c r="I138" i="1"/>
  <c r="I136" i="1"/>
  <c r="I134" i="1"/>
  <c r="C134" i="3" s="1"/>
  <c r="F134" i="3" s="1"/>
  <c r="I132" i="1"/>
  <c r="C132" i="3" s="1"/>
  <c r="F132" i="3" s="1"/>
  <c r="I130" i="1"/>
  <c r="B130" i="3" s="1"/>
  <c r="E130" i="3" s="1"/>
  <c r="I128" i="1"/>
  <c r="I126" i="1"/>
  <c r="C126" i="3" s="1"/>
  <c r="F126" i="3" s="1"/>
  <c r="I124" i="1"/>
  <c r="I122" i="1"/>
  <c r="I120" i="1"/>
  <c r="I118" i="1"/>
  <c r="I116" i="1"/>
  <c r="D116" i="3" s="1"/>
  <c r="G116" i="3" s="1"/>
  <c r="I114" i="1"/>
  <c r="D114" i="3" s="1"/>
  <c r="G114" i="3" s="1"/>
  <c r="I112" i="1"/>
  <c r="I110" i="1"/>
  <c r="C110" i="3" s="1"/>
  <c r="F110" i="3" s="1"/>
  <c r="I108" i="1"/>
  <c r="I106" i="1"/>
  <c r="B106" i="3" s="1"/>
  <c r="E106" i="3" s="1"/>
  <c r="I104" i="1"/>
  <c r="I102" i="1"/>
  <c r="I100" i="1"/>
  <c r="D100" i="3" s="1"/>
  <c r="G100" i="3" s="1"/>
  <c r="I98" i="1"/>
  <c r="I96" i="1"/>
  <c r="I94" i="1"/>
  <c r="C94" i="3" s="1"/>
  <c r="F94" i="3" s="1"/>
  <c r="I92" i="1"/>
  <c r="D92" i="3" s="1"/>
  <c r="G92" i="3" s="1"/>
  <c r="I90" i="1"/>
  <c r="C90" i="3" s="1"/>
  <c r="F90" i="3" s="1"/>
  <c r="I88" i="1"/>
  <c r="I86" i="1"/>
  <c r="D86" i="3" s="1"/>
  <c r="G86" i="3" s="1"/>
  <c r="I84" i="1"/>
  <c r="D84" i="3" s="1"/>
  <c r="G84" i="3" s="1"/>
  <c r="I82" i="1"/>
  <c r="B82" i="3" s="1"/>
  <c r="E82" i="3" s="1"/>
  <c r="I80" i="1"/>
  <c r="C80" i="3" s="1"/>
  <c r="F80" i="3" s="1"/>
  <c r="I78" i="1"/>
  <c r="C78" i="3" s="1"/>
  <c r="F78" i="3" s="1"/>
  <c r="I76" i="1"/>
  <c r="I74" i="1"/>
  <c r="I72" i="1"/>
  <c r="I70" i="1"/>
  <c r="C70" i="3" s="1"/>
  <c r="F70" i="3" s="1"/>
  <c r="I68" i="1"/>
  <c r="C68" i="3" s="1"/>
  <c r="F68" i="3" s="1"/>
  <c r="I66" i="1"/>
  <c r="D66" i="3" s="1"/>
  <c r="G66" i="3" s="1"/>
  <c r="I64" i="1"/>
  <c r="I62" i="1"/>
  <c r="D62" i="3" s="1"/>
  <c r="G62" i="3" s="1"/>
  <c r="I60" i="1"/>
  <c r="C60" i="3" s="1"/>
  <c r="F60" i="3" s="1"/>
  <c r="I58" i="1"/>
  <c r="I56" i="1"/>
  <c r="I54" i="1"/>
  <c r="C54" i="3" s="1"/>
  <c r="F54" i="3" s="1"/>
  <c r="I52" i="1"/>
  <c r="C52" i="3" s="1"/>
  <c r="F52" i="3" s="1"/>
  <c r="I50" i="1"/>
  <c r="I48" i="1"/>
  <c r="C48" i="3" s="1"/>
  <c r="F48" i="3" s="1"/>
  <c r="I46" i="1"/>
  <c r="I44" i="1"/>
  <c r="I42" i="1"/>
  <c r="B42" i="3" s="1"/>
  <c r="E42" i="3" s="1"/>
  <c r="I40" i="1"/>
  <c r="I38" i="1"/>
  <c r="D38" i="3" s="1"/>
  <c r="G38" i="3" s="1"/>
  <c r="I36" i="1"/>
  <c r="B36" i="3" s="1"/>
  <c r="E36" i="3" s="1"/>
  <c r="I34" i="1"/>
  <c r="B34" i="3" s="1"/>
  <c r="E34" i="3" s="1"/>
  <c r="I32" i="1"/>
  <c r="C32" i="3" s="1"/>
  <c r="F32" i="3" s="1"/>
  <c r="I30" i="1"/>
  <c r="I28" i="1"/>
  <c r="B28" i="3" s="1"/>
  <c r="E28" i="3" s="1"/>
  <c r="I26" i="1"/>
  <c r="I24" i="1"/>
  <c r="I22" i="1"/>
  <c r="D22" i="3" s="1"/>
  <c r="G22" i="3" s="1"/>
  <c r="I20" i="1"/>
  <c r="D20" i="3" s="1"/>
  <c r="G20" i="3" s="1"/>
  <c r="I18" i="1"/>
  <c r="I16" i="1"/>
  <c r="I14" i="1"/>
  <c r="I12" i="1"/>
  <c r="D12" i="3" s="1"/>
  <c r="G12" i="3" s="1"/>
  <c r="I10" i="1"/>
  <c r="D10" i="3" s="1"/>
  <c r="G10" i="3" s="1"/>
  <c r="J157" i="1"/>
  <c r="J155" i="1"/>
  <c r="J153" i="1"/>
  <c r="J151" i="1"/>
  <c r="J149" i="1"/>
  <c r="J147" i="1"/>
  <c r="J145" i="1"/>
  <c r="J143" i="1"/>
  <c r="J141" i="1"/>
  <c r="J139" i="1"/>
  <c r="J137" i="1"/>
  <c r="J135" i="1"/>
  <c r="J133" i="1"/>
  <c r="J131" i="1"/>
  <c r="J129" i="1"/>
  <c r="J127" i="1"/>
  <c r="J125" i="1"/>
  <c r="J123" i="1"/>
  <c r="J121" i="1"/>
  <c r="J119" i="1"/>
  <c r="J117" i="1"/>
  <c r="J115" i="1"/>
  <c r="J113" i="1"/>
  <c r="J111" i="1"/>
  <c r="J109" i="1"/>
  <c r="J107" i="1"/>
  <c r="J105" i="1"/>
  <c r="J103" i="1"/>
  <c r="J101" i="1"/>
  <c r="J99" i="1"/>
  <c r="J97" i="1"/>
  <c r="J95" i="1"/>
  <c r="J93" i="1"/>
  <c r="J91" i="1"/>
  <c r="J89" i="1"/>
  <c r="J87" i="1"/>
  <c r="J85" i="1"/>
  <c r="J83" i="1"/>
  <c r="J81" i="1"/>
  <c r="J79" i="1"/>
  <c r="J77" i="1"/>
  <c r="J75" i="1"/>
  <c r="J73" i="1"/>
  <c r="J71" i="1"/>
  <c r="J69" i="1"/>
  <c r="J67" i="1"/>
  <c r="J65" i="1"/>
  <c r="J63" i="1"/>
  <c r="J61" i="1"/>
  <c r="J59" i="1"/>
  <c r="J57" i="1"/>
  <c r="J55" i="1"/>
  <c r="J53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13" i="1"/>
  <c r="J11" i="1"/>
  <c r="I157" i="1"/>
  <c r="D157" i="3" s="1"/>
  <c r="G157" i="3" s="1"/>
  <c r="I155" i="1"/>
  <c r="I153" i="1"/>
  <c r="I151" i="1"/>
  <c r="D151" i="3" s="1"/>
  <c r="G151" i="3" s="1"/>
  <c r="I149" i="1"/>
  <c r="I147" i="1"/>
  <c r="I145" i="1"/>
  <c r="D145" i="3" s="1"/>
  <c r="G145" i="3" s="1"/>
  <c r="I143" i="1"/>
  <c r="D143" i="3" s="1"/>
  <c r="G143" i="3" s="1"/>
  <c r="I141" i="1"/>
  <c r="D141" i="3" s="1"/>
  <c r="G141" i="3" s="1"/>
  <c r="I139" i="1"/>
  <c r="I137" i="1"/>
  <c r="I135" i="1"/>
  <c r="D135" i="3" s="1"/>
  <c r="G135" i="3" s="1"/>
  <c r="I133" i="1"/>
  <c r="I131" i="1"/>
  <c r="I129" i="1"/>
  <c r="B129" i="3" s="1"/>
  <c r="E129" i="3" s="1"/>
  <c r="I127" i="1"/>
  <c r="C127" i="3" s="1"/>
  <c r="F127" i="3" s="1"/>
  <c r="I125" i="1"/>
  <c r="C125" i="3" s="1"/>
  <c r="F125" i="3" s="1"/>
  <c r="I123" i="1"/>
  <c r="I121" i="1"/>
  <c r="I119" i="1"/>
  <c r="B119" i="3" s="1"/>
  <c r="E119" i="3" s="1"/>
  <c r="I117" i="1"/>
  <c r="I115" i="1"/>
  <c r="I113" i="1"/>
  <c r="D113" i="3" s="1"/>
  <c r="G113" i="3" s="1"/>
  <c r="I111" i="1"/>
  <c r="D111" i="3" s="1"/>
  <c r="G111" i="3" s="1"/>
  <c r="I109" i="1"/>
  <c r="C109" i="3" s="1"/>
  <c r="F109" i="3" s="1"/>
  <c r="I107" i="1"/>
  <c r="I105" i="1"/>
  <c r="I103" i="1"/>
  <c r="D103" i="3" s="1"/>
  <c r="G103" i="3" s="1"/>
  <c r="I101" i="1"/>
  <c r="B101" i="3" s="1"/>
  <c r="E101" i="3" s="1"/>
  <c r="I99" i="1"/>
  <c r="I97" i="1"/>
  <c r="D97" i="3" s="1"/>
  <c r="G97" i="3" s="1"/>
  <c r="I95" i="1"/>
  <c r="I93" i="1"/>
  <c r="D93" i="3" s="1"/>
  <c r="G93" i="3" s="1"/>
  <c r="I91" i="1"/>
  <c r="I89" i="1"/>
  <c r="I87" i="1"/>
  <c r="C87" i="3" s="1"/>
  <c r="F87" i="3" s="1"/>
  <c r="I85" i="1"/>
  <c r="I83" i="1"/>
  <c r="I81" i="1"/>
  <c r="I79" i="1"/>
  <c r="B79" i="3" s="1"/>
  <c r="E79" i="3" s="1"/>
  <c r="I77" i="1"/>
  <c r="D77" i="3" s="1"/>
  <c r="G77" i="3" s="1"/>
  <c r="I75" i="1"/>
  <c r="I73" i="1"/>
  <c r="I71" i="1"/>
  <c r="B71" i="3" s="1"/>
  <c r="E71" i="3" s="1"/>
  <c r="I69" i="1"/>
  <c r="C69" i="3" s="1"/>
  <c r="F69" i="3" s="1"/>
  <c r="I67" i="1"/>
  <c r="I65" i="1"/>
  <c r="C65" i="3" s="1"/>
  <c r="F65" i="3" s="1"/>
  <c r="I63" i="1"/>
  <c r="B63" i="3" s="1"/>
  <c r="E63" i="3" s="1"/>
  <c r="I61" i="1"/>
  <c r="B61" i="3" s="1"/>
  <c r="E61" i="3" s="1"/>
  <c r="I59" i="1"/>
  <c r="I57" i="1"/>
  <c r="I55" i="1"/>
  <c r="C55" i="3" s="1"/>
  <c r="F55" i="3" s="1"/>
  <c r="I53" i="1"/>
  <c r="C53" i="3" s="1"/>
  <c r="F53" i="3" s="1"/>
  <c r="I51" i="1"/>
  <c r="I49" i="1"/>
  <c r="C49" i="3" s="1"/>
  <c r="F49" i="3" s="1"/>
  <c r="I47" i="1"/>
  <c r="C47" i="3" s="1"/>
  <c r="F47" i="3" s="1"/>
  <c r="I45" i="1"/>
  <c r="C45" i="3" s="1"/>
  <c r="F45" i="3" s="1"/>
  <c r="I43" i="1"/>
  <c r="I41" i="1"/>
  <c r="I39" i="1"/>
  <c r="B39" i="3" s="1"/>
  <c r="E39" i="3" s="1"/>
  <c r="I37" i="1"/>
  <c r="C37" i="3" s="1"/>
  <c r="F37" i="3" s="1"/>
  <c r="I35" i="1"/>
  <c r="I33" i="1"/>
  <c r="I31" i="1"/>
  <c r="B31" i="3" s="1"/>
  <c r="E31" i="3" s="1"/>
  <c r="I29" i="1"/>
  <c r="D29" i="3" s="1"/>
  <c r="G29" i="3" s="1"/>
  <c r="I27" i="1"/>
  <c r="I25" i="1"/>
  <c r="I23" i="1"/>
  <c r="D23" i="3" s="1"/>
  <c r="G23" i="3" s="1"/>
  <c r="I21" i="1"/>
  <c r="I19" i="1"/>
  <c r="I17" i="1"/>
  <c r="B17" i="3" s="1"/>
  <c r="E17" i="3" s="1"/>
  <c r="I15" i="1"/>
  <c r="C15" i="3" s="1"/>
  <c r="F15" i="3" s="1"/>
  <c r="I13" i="1"/>
  <c r="D13" i="3" s="1"/>
  <c r="G13" i="3" s="1"/>
  <c r="C83" i="3" l="1"/>
  <c r="F83" i="3" s="1"/>
  <c r="D46" i="3"/>
  <c r="G46" i="3" s="1"/>
  <c r="D41" i="3"/>
  <c r="G41" i="3" s="1"/>
  <c r="D89" i="3"/>
  <c r="G89" i="3" s="1"/>
  <c r="B121" i="3"/>
  <c r="E121" i="3" s="1"/>
  <c r="D153" i="3"/>
  <c r="G153" i="3" s="1"/>
  <c r="B27" i="3"/>
  <c r="E27" i="3" s="1"/>
  <c r="B43" i="3"/>
  <c r="E43" i="3" s="1"/>
  <c r="H43" i="3" s="1"/>
  <c r="B59" i="3"/>
  <c r="E59" i="3" s="1"/>
  <c r="D75" i="3"/>
  <c r="G75" i="3" s="1"/>
  <c r="B91" i="3"/>
  <c r="E91" i="3" s="1"/>
  <c r="D107" i="3"/>
  <c r="G107" i="3" s="1"/>
  <c r="B123" i="3"/>
  <c r="E123" i="3" s="1"/>
  <c r="B139" i="3"/>
  <c r="E139" i="3" s="1"/>
  <c r="B155" i="3"/>
  <c r="E155" i="3" s="1"/>
  <c r="D50" i="3"/>
  <c r="G50" i="3" s="1"/>
  <c r="C98" i="3"/>
  <c r="F98" i="3" s="1"/>
  <c r="C9" i="3"/>
  <c r="F9" i="3" s="1"/>
  <c r="C100" i="3"/>
  <c r="F100" i="3" s="1"/>
  <c r="D101" i="3"/>
  <c r="G101" i="3" s="1"/>
  <c r="D95" i="3"/>
  <c r="G95" i="3" s="1"/>
  <c r="C102" i="3"/>
  <c r="F102" i="3" s="1"/>
  <c r="C118" i="3"/>
  <c r="F118" i="3" s="1"/>
  <c r="B150" i="3"/>
  <c r="E150" i="3" s="1"/>
  <c r="B49" i="3"/>
  <c r="E49" i="3" s="1"/>
  <c r="B143" i="3"/>
  <c r="E143" i="3" s="1"/>
  <c r="D32" i="3"/>
  <c r="G32" i="3" s="1"/>
  <c r="D125" i="3"/>
  <c r="G125" i="3" s="1"/>
  <c r="B132" i="3"/>
  <c r="E132" i="3" s="1"/>
  <c r="H132" i="3" s="1"/>
  <c r="J132" i="3" s="1"/>
  <c r="D33" i="3"/>
  <c r="G33" i="3" s="1"/>
  <c r="D81" i="3"/>
  <c r="G81" i="3" s="1"/>
  <c r="B24" i="3"/>
  <c r="E24" i="3" s="1"/>
  <c r="D40" i="3"/>
  <c r="G40" i="3" s="1"/>
  <c r="C56" i="3"/>
  <c r="F56" i="3" s="1"/>
  <c r="C72" i="3"/>
  <c r="F72" i="3" s="1"/>
  <c r="D88" i="3"/>
  <c r="G88" i="3" s="1"/>
  <c r="D104" i="3"/>
  <c r="G104" i="3" s="1"/>
  <c r="C120" i="3"/>
  <c r="F120" i="3" s="1"/>
  <c r="D136" i="3"/>
  <c r="G136" i="3" s="1"/>
  <c r="C152" i="3"/>
  <c r="F152" i="3" s="1"/>
  <c r="B54" i="3"/>
  <c r="E54" i="3" s="1"/>
  <c r="H54" i="3" s="1"/>
  <c r="J54" i="3" s="1"/>
  <c r="C19" i="3"/>
  <c r="F19" i="3" s="1"/>
  <c r="C67" i="3"/>
  <c r="F67" i="3" s="1"/>
  <c r="B83" i="3"/>
  <c r="E83" i="3" s="1"/>
  <c r="D115" i="3"/>
  <c r="G115" i="3" s="1"/>
  <c r="B131" i="3"/>
  <c r="E131" i="3" s="1"/>
  <c r="B147" i="3"/>
  <c r="E147" i="3" s="1"/>
  <c r="D26" i="3"/>
  <c r="G26" i="3" s="1"/>
  <c r="D58" i="3"/>
  <c r="G58" i="3" s="1"/>
  <c r="B74" i="3"/>
  <c r="E74" i="3" s="1"/>
  <c r="C106" i="3"/>
  <c r="F106" i="3" s="1"/>
  <c r="C122" i="3"/>
  <c r="F122" i="3" s="1"/>
  <c r="D138" i="3"/>
  <c r="G138" i="3" s="1"/>
  <c r="C154" i="3"/>
  <c r="F154" i="3" s="1"/>
  <c r="B20" i="3"/>
  <c r="E20" i="3" s="1"/>
  <c r="D43" i="3"/>
  <c r="G43" i="3" s="1"/>
  <c r="C35" i="3"/>
  <c r="F35" i="3" s="1"/>
  <c r="D51" i="3"/>
  <c r="G51" i="3" s="1"/>
  <c r="C85" i="3"/>
  <c r="F85" i="3" s="1"/>
  <c r="C101" i="3"/>
  <c r="F101" i="3" s="1"/>
  <c r="D117" i="3"/>
  <c r="G117" i="3" s="1"/>
  <c r="C133" i="3"/>
  <c r="F133" i="3" s="1"/>
  <c r="D44" i="3"/>
  <c r="G44" i="3" s="1"/>
  <c r="C76" i="3"/>
  <c r="F76" i="3" s="1"/>
  <c r="D108" i="3"/>
  <c r="G108" i="3" s="1"/>
  <c r="D124" i="3"/>
  <c r="G124" i="3" s="1"/>
  <c r="D140" i="3"/>
  <c r="G140" i="3" s="1"/>
  <c r="B108" i="3"/>
  <c r="E108" i="3" s="1"/>
  <c r="B32" i="3"/>
  <c r="E32" i="3" s="1"/>
  <c r="D53" i="3"/>
  <c r="G53" i="3" s="1"/>
  <c r="C14" i="3"/>
  <c r="F14" i="3" s="1"/>
  <c r="B158" i="3"/>
  <c r="E158" i="3" s="1"/>
  <c r="B153" i="3"/>
  <c r="E153" i="3" s="1"/>
  <c r="C121" i="3"/>
  <c r="F121" i="3" s="1"/>
  <c r="B105" i="3"/>
  <c r="E105" i="3" s="1"/>
  <c r="B9" i="3"/>
  <c r="E9" i="3" s="1"/>
  <c r="C96" i="3"/>
  <c r="F96" i="3" s="1"/>
  <c r="B11" i="3"/>
  <c r="E11" i="3" s="1"/>
  <c r="D15" i="3"/>
  <c r="G15" i="3" s="1"/>
  <c r="C138" i="3"/>
  <c r="F138" i="3" s="1"/>
  <c r="B58" i="3"/>
  <c r="E58" i="3" s="1"/>
  <c r="D149" i="3"/>
  <c r="G149" i="3" s="1"/>
  <c r="D74" i="3"/>
  <c r="G74" i="3" s="1"/>
  <c r="C77" i="3"/>
  <c r="F77" i="3" s="1"/>
  <c r="D109" i="3"/>
  <c r="G109" i="3" s="1"/>
  <c r="H109" i="3" s="1"/>
  <c r="C51" i="3"/>
  <c r="F51" i="3" s="1"/>
  <c r="C115" i="3"/>
  <c r="F115" i="3" s="1"/>
  <c r="C30" i="3"/>
  <c r="F30" i="3" s="1"/>
  <c r="C25" i="3"/>
  <c r="F25" i="3" s="1"/>
  <c r="C57" i="3"/>
  <c r="F57" i="3" s="1"/>
  <c r="C73" i="3"/>
  <c r="F73" i="3" s="1"/>
  <c r="C105" i="3"/>
  <c r="F105" i="3" s="1"/>
  <c r="B137" i="3"/>
  <c r="E137" i="3" s="1"/>
  <c r="D48" i="3"/>
  <c r="G48" i="3" s="1"/>
  <c r="D96" i="3"/>
  <c r="G96" i="3" s="1"/>
  <c r="B112" i="3"/>
  <c r="E112" i="3" s="1"/>
  <c r="B128" i="3"/>
  <c r="E128" i="3" s="1"/>
  <c r="D144" i="3"/>
  <c r="G144" i="3" s="1"/>
  <c r="D11" i="3"/>
  <c r="G11" i="3" s="1"/>
  <c r="B109" i="3"/>
  <c r="E109" i="3" s="1"/>
  <c r="C92" i="3"/>
  <c r="F92" i="3" s="1"/>
  <c r="H92" i="3" s="1"/>
  <c r="D49" i="3"/>
  <c r="G49" i="3" s="1"/>
  <c r="H9" i="3"/>
  <c r="K9" i="3" s="1"/>
  <c r="B149" i="3"/>
  <c r="E149" i="3" s="1"/>
  <c r="B15" i="3"/>
  <c r="E15" i="3" s="1"/>
  <c r="C142" i="3"/>
  <c r="F142" i="3" s="1"/>
  <c r="C99" i="3"/>
  <c r="F99" i="3" s="1"/>
  <c r="C21" i="3"/>
  <c r="F21" i="3" s="1"/>
  <c r="B21" i="3"/>
  <c r="E21" i="3" s="1"/>
  <c r="B69" i="3"/>
  <c r="E69" i="3" s="1"/>
  <c r="B19" i="3"/>
  <c r="E19" i="3" s="1"/>
  <c r="B50" i="3"/>
  <c r="E50" i="3" s="1"/>
  <c r="B75" i="3"/>
  <c r="E75" i="3" s="1"/>
  <c r="B41" i="3"/>
  <c r="E41" i="3" s="1"/>
  <c r="B46" i="3"/>
  <c r="E46" i="3" s="1"/>
  <c r="B67" i="3"/>
  <c r="E67" i="3" s="1"/>
  <c r="B90" i="3"/>
  <c r="E90" i="3" s="1"/>
  <c r="B84" i="3"/>
  <c r="E84" i="3" s="1"/>
  <c r="B100" i="3"/>
  <c r="E100" i="3" s="1"/>
  <c r="B111" i="3"/>
  <c r="E111" i="3" s="1"/>
  <c r="B135" i="3"/>
  <c r="E135" i="3" s="1"/>
  <c r="B124" i="3"/>
  <c r="E124" i="3" s="1"/>
  <c r="B141" i="3"/>
  <c r="E141" i="3" s="1"/>
  <c r="B145" i="3"/>
  <c r="E145" i="3" s="1"/>
  <c r="B152" i="3"/>
  <c r="E152" i="3" s="1"/>
  <c r="C17" i="3"/>
  <c r="F17" i="3" s="1"/>
  <c r="C12" i="3"/>
  <c r="F12" i="3" s="1"/>
  <c r="C23" i="3"/>
  <c r="F23" i="3" s="1"/>
  <c r="B23" i="3"/>
  <c r="E23" i="3" s="1"/>
  <c r="C41" i="3"/>
  <c r="F41" i="3" s="1"/>
  <c r="C43" i="3"/>
  <c r="F43" i="3" s="1"/>
  <c r="C61" i="3"/>
  <c r="F61" i="3" s="1"/>
  <c r="H61" i="3" s="1"/>
  <c r="I61" i="3" s="1"/>
  <c r="C63" i="3"/>
  <c r="F63" i="3" s="1"/>
  <c r="C81" i="3"/>
  <c r="F81" i="3" s="1"/>
  <c r="C38" i="3"/>
  <c r="F38" i="3" s="1"/>
  <c r="C93" i="3"/>
  <c r="F93" i="3" s="1"/>
  <c r="C114" i="3"/>
  <c r="F114" i="3" s="1"/>
  <c r="C111" i="3"/>
  <c r="F111" i="3" s="1"/>
  <c r="C88" i="3"/>
  <c r="F88" i="3" s="1"/>
  <c r="C107" i="3"/>
  <c r="F107" i="3" s="1"/>
  <c r="C135" i="3"/>
  <c r="F135" i="3" s="1"/>
  <c r="C128" i="3"/>
  <c r="F128" i="3" s="1"/>
  <c r="C153" i="3"/>
  <c r="F153" i="3" s="1"/>
  <c r="C141" i="3"/>
  <c r="F141" i="3" s="1"/>
  <c r="D67" i="3"/>
  <c r="G67" i="3" s="1"/>
  <c r="D45" i="3"/>
  <c r="G45" i="3" s="1"/>
  <c r="D28" i="3"/>
  <c r="G28" i="3" s="1"/>
  <c r="D54" i="3"/>
  <c r="G54" i="3" s="1"/>
  <c r="D85" i="3"/>
  <c r="G85" i="3" s="1"/>
  <c r="D106" i="3"/>
  <c r="G106" i="3" s="1"/>
  <c r="D80" i="3"/>
  <c r="G80" i="3" s="1"/>
  <c r="D94" i="3"/>
  <c r="G94" i="3" s="1"/>
  <c r="D83" i="3"/>
  <c r="G83" i="3" s="1"/>
  <c r="D118" i="3"/>
  <c r="G118" i="3" s="1"/>
  <c r="D132" i="3"/>
  <c r="G132" i="3" s="1"/>
  <c r="D146" i="3"/>
  <c r="G146" i="3" s="1"/>
  <c r="D152" i="3"/>
  <c r="G152" i="3" s="1"/>
  <c r="C64" i="3"/>
  <c r="F64" i="3" s="1"/>
  <c r="B40" i="3"/>
  <c r="E40" i="3" s="1"/>
  <c r="B66" i="3"/>
  <c r="E66" i="3" s="1"/>
  <c r="B44" i="3"/>
  <c r="E44" i="3" s="1"/>
  <c r="B57" i="3"/>
  <c r="E57" i="3" s="1"/>
  <c r="B62" i="3"/>
  <c r="E62" i="3" s="1"/>
  <c r="B78" i="3"/>
  <c r="E78" i="3" s="1"/>
  <c r="B104" i="3"/>
  <c r="E104" i="3" s="1"/>
  <c r="B85" i="3"/>
  <c r="E85" i="3" s="1"/>
  <c r="B113" i="3"/>
  <c r="E113" i="3" s="1"/>
  <c r="B114" i="3"/>
  <c r="E114" i="3" s="1"/>
  <c r="B136" i="3"/>
  <c r="E136" i="3" s="1"/>
  <c r="B125" i="3"/>
  <c r="E125" i="3" s="1"/>
  <c r="B142" i="3"/>
  <c r="E142" i="3" s="1"/>
  <c r="B157" i="3"/>
  <c r="E157" i="3" s="1"/>
  <c r="C40" i="3"/>
  <c r="F40" i="3" s="1"/>
  <c r="C27" i="3"/>
  <c r="F27" i="3" s="1"/>
  <c r="C59" i="3"/>
  <c r="F59" i="3" s="1"/>
  <c r="H59" i="3" s="1"/>
  <c r="I59" i="3" s="1"/>
  <c r="C50" i="3"/>
  <c r="F50" i="3" s="1"/>
  <c r="C75" i="3"/>
  <c r="F75" i="3" s="1"/>
  <c r="C124" i="3"/>
  <c r="F124" i="3" s="1"/>
  <c r="C82" i="3"/>
  <c r="F82" i="3" s="1"/>
  <c r="H82" i="3" s="1"/>
  <c r="I82" i="3" s="1"/>
  <c r="C113" i="3"/>
  <c r="F113" i="3" s="1"/>
  <c r="C89" i="3"/>
  <c r="F89" i="3" s="1"/>
  <c r="C103" i="3"/>
  <c r="F103" i="3" s="1"/>
  <c r="C108" i="3"/>
  <c r="F108" i="3" s="1"/>
  <c r="H108" i="3" s="1"/>
  <c r="I108" i="3" s="1"/>
  <c r="C119" i="3"/>
  <c r="F119" i="3" s="1"/>
  <c r="C129" i="3"/>
  <c r="F129" i="3" s="1"/>
  <c r="C143" i="3"/>
  <c r="F143" i="3" s="1"/>
  <c r="C150" i="3"/>
  <c r="F150" i="3" s="1"/>
  <c r="C157" i="3"/>
  <c r="F157" i="3" s="1"/>
  <c r="D14" i="3"/>
  <c r="G14" i="3" s="1"/>
  <c r="D21" i="3"/>
  <c r="G21" i="3" s="1"/>
  <c r="D70" i="3"/>
  <c r="G70" i="3" s="1"/>
  <c r="D61" i="3"/>
  <c r="G61" i="3" s="1"/>
  <c r="D47" i="3"/>
  <c r="G47" i="3" s="1"/>
  <c r="D52" i="3"/>
  <c r="G52" i="3" s="1"/>
  <c r="D57" i="3"/>
  <c r="G57" i="3" s="1"/>
  <c r="D133" i="3"/>
  <c r="G133" i="3" s="1"/>
  <c r="D82" i="3"/>
  <c r="G82" i="3" s="1"/>
  <c r="D120" i="3"/>
  <c r="G120" i="3" s="1"/>
  <c r="D121" i="3"/>
  <c r="G121" i="3" s="1"/>
  <c r="H121" i="3" s="1"/>
  <c r="D150" i="3"/>
  <c r="G150" i="3" s="1"/>
  <c r="D24" i="3"/>
  <c r="G24" i="3" s="1"/>
  <c r="I49" i="3"/>
  <c r="H49" i="3"/>
  <c r="J49" i="3" s="1"/>
  <c r="D105" i="3"/>
  <c r="G105" i="3" s="1"/>
  <c r="H105" i="3" s="1"/>
  <c r="D16" i="3"/>
  <c r="G16" i="3" s="1"/>
  <c r="C16" i="3"/>
  <c r="F16" i="3" s="1"/>
  <c r="C18" i="3"/>
  <c r="F18" i="3" s="1"/>
  <c r="B18" i="3"/>
  <c r="E18" i="3" s="1"/>
  <c r="B48" i="3"/>
  <c r="E48" i="3" s="1"/>
  <c r="B102" i="3"/>
  <c r="E102" i="3" s="1"/>
  <c r="B52" i="3"/>
  <c r="E52" i="3" s="1"/>
  <c r="B65" i="3"/>
  <c r="E65" i="3" s="1"/>
  <c r="B70" i="3"/>
  <c r="E70" i="3" s="1"/>
  <c r="B88" i="3"/>
  <c r="E88" i="3" s="1"/>
  <c r="B97" i="3"/>
  <c r="E97" i="3" s="1"/>
  <c r="B86" i="3"/>
  <c r="E86" i="3" s="1"/>
  <c r="B93" i="3"/>
  <c r="E93" i="3" s="1"/>
  <c r="B107" i="3"/>
  <c r="E107" i="3" s="1"/>
  <c r="B151" i="3"/>
  <c r="E151" i="3" s="1"/>
  <c r="B118" i="3"/>
  <c r="E118" i="3" s="1"/>
  <c r="B133" i="3"/>
  <c r="E133" i="3" s="1"/>
  <c r="B138" i="3"/>
  <c r="E138" i="3" s="1"/>
  <c r="B33" i="3"/>
  <c r="E33" i="3" s="1"/>
  <c r="B12" i="3"/>
  <c r="E12" i="3" s="1"/>
  <c r="B45" i="3"/>
  <c r="E45" i="3" s="1"/>
  <c r="C58" i="3"/>
  <c r="F58" i="3" s="1"/>
  <c r="C44" i="3"/>
  <c r="F44" i="3" s="1"/>
  <c r="C62" i="3"/>
  <c r="F62" i="3" s="1"/>
  <c r="C86" i="3"/>
  <c r="F86" i="3" s="1"/>
  <c r="C139" i="3"/>
  <c r="F139" i="3" s="1"/>
  <c r="C97" i="3"/>
  <c r="F97" i="3" s="1"/>
  <c r="C116" i="3"/>
  <c r="F116" i="3" s="1"/>
  <c r="C130" i="3"/>
  <c r="F130" i="3" s="1"/>
  <c r="C137" i="3"/>
  <c r="F137" i="3" s="1"/>
  <c r="C151" i="3"/>
  <c r="F151" i="3" s="1"/>
  <c r="C158" i="3"/>
  <c r="F158" i="3" s="1"/>
  <c r="D19" i="3"/>
  <c r="G19" i="3" s="1"/>
  <c r="D31" i="3"/>
  <c r="G31" i="3" s="1"/>
  <c r="D17" i="3"/>
  <c r="G17" i="3" s="1"/>
  <c r="D73" i="3"/>
  <c r="G73" i="3" s="1"/>
  <c r="D69" i="3"/>
  <c r="G69" i="3" s="1"/>
  <c r="D55" i="3"/>
  <c r="G55" i="3" s="1"/>
  <c r="D60" i="3"/>
  <c r="G60" i="3" s="1"/>
  <c r="D65" i="3"/>
  <c r="G65" i="3" s="1"/>
  <c r="D72" i="3"/>
  <c r="G72" i="3" s="1"/>
  <c r="D90" i="3"/>
  <c r="G90" i="3" s="1"/>
  <c r="D119" i="3"/>
  <c r="G119" i="3" s="1"/>
  <c r="D126" i="3"/>
  <c r="G126" i="3" s="1"/>
  <c r="D128" i="3"/>
  <c r="G128" i="3" s="1"/>
  <c r="D129" i="3"/>
  <c r="G129" i="3" s="1"/>
  <c r="D158" i="3"/>
  <c r="G158" i="3" s="1"/>
  <c r="B30" i="3"/>
  <c r="E30" i="3" s="1"/>
  <c r="H143" i="3"/>
  <c r="K143" i="3" s="1"/>
  <c r="B14" i="3"/>
  <c r="E14" i="3" s="1"/>
  <c r="C149" i="3"/>
  <c r="F149" i="3" s="1"/>
  <c r="D39" i="3"/>
  <c r="G39" i="3" s="1"/>
  <c r="D110" i="3"/>
  <c r="G110" i="3" s="1"/>
  <c r="C13" i="3"/>
  <c r="F13" i="3" s="1"/>
  <c r="B13" i="3"/>
  <c r="E13" i="3" s="1"/>
  <c r="C29" i="3"/>
  <c r="F29" i="3" s="1"/>
  <c r="B29" i="3"/>
  <c r="E29" i="3" s="1"/>
  <c r="C36" i="3"/>
  <c r="F36" i="3" s="1"/>
  <c r="B53" i="3"/>
  <c r="E53" i="3" s="1"/>
  <c r="B56" i="3"/>
  <c r="E56" i="3" s="1"/>
  <c r="B47" i="3"/>
  <c r="E47" i="3" s="1"/>
  <c r="B60" i="3"/>
  <c r="E60" i="3" s="1"/>
  <c r="B72" i="3"/>
  <c r="E72" i="3" s="1"/>
  <c r="B73" i="3"/>
  <c r="E73" i="3" s="1"/>
  <c r="B98" i="3"/>
  <c r="E98" i="3" s="1"/>
  <c r="B76" i="3"/>
  <c r="E76" i="3" s="1"/>
  <c r="B94" i="3"/>
  <c r="E94" i="3" s="1"/>
  <c r="B99" i="3"/>
  <c r="E99" i="3" s="1"/>
  <c r="B115" i="3"/>
  <c r="E115" i="3" s="1"/>
  <c r="B126" i="3"/>
  <c r="E126" i="3" s="1"/>
  <c r="B140" i="3"/>
  <c r="E140" i="3" s="1"/>
  <c r="B146" i="3"/>
  <c r="E146" i="3" s="1"/>
  <c r="C28" i="3"/>
  <c r="F28" i="3" s="1"/>
  <c r="C42" i="3"/>
  <c r="F42" i="3" s="1"/>
  <c r="C104" i="3"/>
  <c r="F104" i="3" s="1"/>
  <c r="C66" i="3"/>
  <c r="F66" i="3" s="1"/>
  <c r="C91" i="3"/>
  <c r="F91" i="3" s="1"/>
  <c r="H91" i="3" s="1"/>
  <c r="C112" i="3"/>
  <c r="F112" i="3" s="1"/>
  <c r="C123" i="3"/>
  <c r="F123" i="3" s="1"/>
  <c r="C131" i="3"/>
  <c r="F131" i="3" s="1"/>
  <c r="H131" i="3" s="1"/>
  <c r="I131" i="3" s="1"/>
  <c r="C136" i="3"/>
  <c r="F136" i="3" s="1"/>
  <c r="C140" i="3"/>
  <c r="F140" i="3" s="1"/>
  <c r="C147" i="3"/>
  <c r="F147" i="3" s="1"/>
  <c r="D30" i="3"/>
  <c r="G30" i="3" s="1"/>
  <c r="D37" i="3"/>
  <c r="G37" i="3" s="1"/>
  <c r="D25" i="3"/>
  <c r="G25" i="3" s="1"/>
  <c r="D42" i="3"/>
  <c r="G42" i="3" s="1"/>
  <c r="D63" i="3"/>
  <c r="G63" i="3" s="1"/>
  <c r="D68" i="3"/>
  <c r="G68" i="3" s="1"/>
  <c r="D78" i="3"/>
  <c r="G78" i="3" s="1"/>
  <c r="D79" i="3"/>
  <c r="G79" i="3" s="1"/>
  <c r="D98" i="3"/>
  <c r="G98" i="3" s="1"/>
  <c r="D134" i="3"/>
  <c r="G134" i="3" s="1"/>
  <c r="D122" i="3"/>
  <c r="G122" i="3" s="1"/>
  <c r="D137" i="3"/>
  <c r="G137" i="3" s="1"/>
  <c r="D147" i="3"/>
  <c r="G147" i="3" s="1"/>
  <c r="H101" i="3"/>
  <c r="J101" i="3" s="1"/>
  <c r="C46" i="3"/>
  <c r="F46" i="3" s="1"/>
  <c r="C22" i="3"/>
  <c r="F22" i="3" s="1"/>
  <c r="B38" i="3"/>
  <c r="E38" i="3" s="1"/>
  <c r="B64" i="3"/>
  <c r="E64" i="3" s="1"/>
  <c r="B55" i="3"/>
  <c r="E55" i="3" s="1"/>
  <c r="B68" i="3"/>
  <c r="E68" i="3" s="1"/>
  <c r="B80" i="3"/>
  <c r="E80" i="3" s="1"/>
  <c r="B89" i="3"/>
  <c r="E89" i="3" s="1"/>
  <c r="B81" i="3"/>
  <c r="E81" i="3" s="1"/>
  <c r="B116" i="3"/>
  <c r="E116" i="3" s="1"/>
  <c r="B110" i="3"/>
  <c r="E110" i="3" s="1"/>
  <c r="B122" i="3"/>
  <c r="E122" i="3" s="1"/>
  <c r="B134" i="3"/>
  <c r="E134" i="3" s="1"/>
  <c r="B148" i="3"/>
  <c r="E148" i="3" s="1"/>
  <c r="B154" i="3"/>
  <c r="E154" i="3" s="1"/>
  <c r="C33" i="3"/>
  <c r="F33" i="3" s="1"/>
  <c r="B25" i="3"/>
  <c r="E25" i="3" s="1"/>
  <c r="B37" i="3"/>
  <c r="E37" i="3" s="1"/>
  <c r="C34" i="3"/>
  <c r="F34" i="3" s="1"/>
  <c r="B16" i="3"/>
  <c r="E16" i="3" s="1"/>
  <c r="C39" i="3"/>
  <c r="F39" i="3" s="1"/>
  <c r="H39" i="3" s="1"/>
  <c r="I39" i="3" s="1"/>
  <c r="C79" i="3"/>
  <c r="F79" i="3" s="1"/>
  <c r="H79" i="3" s="1"/>
  <c r="I79" i="3" s="1"/>
  <c r="C148" i="3"/>
  <c r="F148" i="3" s="1"/>
  <c r="C155" i="3"/>
  <c r="F155" i="3" s="1"/>
  <c r="D35" i="3"/>
  <c r="G35" i="3" s="1"/>
  <c r="D18" i="3"/>
  <c r="G18" i="3" s="1"/>
  <c r="D59" i="3"/>
  <c r="G59" i="3" s="1"/>
  <c r="D71" i="3"/>
  <c r="G71" i="3" s="1"/>
  <c r="D76" i="3"/>
  <c r="G76" i="3" s="1"/>
  <c r="D87" i="3"/>
  <c r="G87" i="3" s="1"/>
  <c r="D102" i="3"/>
  <c r="G102" i="3" s="1"/>
  <c r="D99" i="3"/>
  <c r="G99" i="3" s="1"/>
  <c r="D112" i="3"/>
  <c r="G112" i="3" s="1"/>
  <c r="D130" i="3"/>
  <c r="G130" i="3" s="1"/>
  <c r="D123" i="3"/>
  <c r="G123" i="3" s="1"/>
  <c r="D155" i="3"/>
  <c r="G155" i="3" s="1"/>
  <c r="H106" i="3"/>
  <c r="J106" i="3" s="1"/>
  <c r="I106" i="3"/>
  <c r="C24" i="3"/>
  <c r="F24" i="3" s="1"/>
  <c r="B35" i="3"/>
  <c r="E35" i="3" s="1"/>
  <c r="B77" i="3"/>
  <c r="E77" i="3" s="1"/>
  <c r="B51" i="3"/>
  <c r="E51" i="3" s="1"/>
  <c r="B96" i="3"/>
  <c r="E96" i="3" s="1"/>
  <c r="B87" i="3"/>
  <c r="E87" i="3" s="1"/>
  <c r="B117" i="3"/>
  <c r="E117" i="3" s="1"/>
  <c r="B127" i="3"/>
  <c r="E127" i="3" s="1"/>
  <c r="B156" i="3"/>
  <c r="E156" i="3" s="1"/>
  <c r="C20" i="3"/>
  <c r="F20" i="3" s="1"/>
  <c r="H20" i="3" s="1"/>
  <c r="I20" i="3" s="1"/>
  <c r="C31" i="3"/>
  <c r="F31" i="3" s="1"/>
  <c r="H31" i="3" s="1"/>
  <c r="I31" i="3" s="1"/>
  <c r="C11" i="3"/>
  <c r="F11" i="3" s="1"/>
  <c r="C84" i="3"/>
  <c r="F84" i="3" s="1"/>
  <c r="C74" i="3"/>
  <c r="F74" i="3" s="1"/>
  <c r="C156" i="3"/>
  <c r="F156" i="3" s="1"/>
  <c r="C144" i="3"/>
  <c r="F144" i="3" s="1"/>
  <c r="D36" i="3"/>
  <c r="G36" i="3" s="1"/>
  <c r="D56" i="3"/>
  <c r="G56" i="3" s="1"/>
  <c r="D127" i="3"/>
  <c r="G127" i="3" s="1"/>
  <c r="D139" i="3"/>
  <c r="G139" i="3" s="1"/>
  <c r="D131" i="3"/>
  <c r="G131" i="3" s="1"/>
  <c r="D27" i="3"/>
  <c r="G27" i="3" s="1"/>
  <c r="C71" i="3"/>
  <c r="F71" i="3" s="1"/>
  <c r="C10" i="3"/>
  <c r="F10" i="3" s="1"/>
  <c r="B10" i="3"/>
  <c r="E10" i="3" s="1"/>
  <c r="B26" i="3"/>
  <c r="E26" i="3" s="1"/>
  <c r="B103" i="3"/>
  <c r="E103" i="3" s="1"/>
  <c r="B95" i="3"/>
  <c r="E95" i="3" s="1"/>
  <c r="B120" i="3"/>
  <c r="E120" i="3" s="1"/>
  <c r="B144" i="3"/>
  <c r="E144" i="3" s="1"/>
  <c r="B22" i="3"/>
  <c r="E22" i="3" s="1"/>
  <c r="C26" i="3"/>
  <c r="F26" i="3" s="1"/>
  <c r="C95" i="3"/>
  <c r="F95" i="3" s="1"/>
  <c r="C145" i="3"/>
  <c r="F145" i="3" s="1"/>
  <c r="D34" i="3"/>
  <c r="G34" i="3" s="1"/>
  <c r="D64" i="3"/>
  <c r="G64" i="3" s="1"/>
  <c r="U108" i="4" l="1"/>
  <c r="J109" i="3"/>
  <c r="K109" i="3"/>
  <c r="AB109" i="3" s="1"/>
  <c r="I109" i="3"/>
  <c r="L109" i="3" s="1"/>
  <c r="Z132" i="4"/>
  <c r="U20" i="4"/>
  <c r="I92" i="3"/>
  <c r="R92" i="3" s="1"/>
  <c r="J92" i="3"/>
  <c r="K92" i="3"/>
  <c r="I43" i="3"/>
  <c r="K43" i="3"/>
  <c r="AD43" i="3" s="1"/>
  <c r="U39" i="4"/>
  <c r="U131" i="4"/>
  <c r="Y54" i="4"/>
  <c r="Z54" i="4"/>
  <c r="AE143" i="4"/>
  <c r="K101" i="3"/>
  <c r="I143" i="3"/>
  <c r="U143" i="3" s="1"/>
  <c r="U61" i="4"/>
  <c r="I101" i="3"/>
  <c r="Z101" i="4"/>
  <c r="Y101" i="4"/>
  <c r="H158" i="3"/>
  <c r="I158" i="3" s="1"/>
  <c r="U59" i="4"/>
  <c r="U49" i="4"/>
  <c r="U79" i="4"/>
  <c r="Z106" i="4"/>
  <c r="X106" i="4"/>
  <c r="K49" i="3"/>
  <c r="N49" i="3" s="1"/>
  <c r="H32" i="3"/>
  <c r="H137" i="3"/>
  <c r="I137" i="3" s="1"/>
  <c r="H58" i="3"/>
  <c r="I58" i="3" s="1"/>
  <c r="I132" i="3"/>
  <c r="U106" i="4"/>
  <c r="S106" i="4"/>
  <c r="R106" i="4"/>
  <c r="U31" i="4"/>
  <c r="H123" i="3"/>
  <c r="I123" i="3" s="1"/>
  <c r="H130" i="3"/>
  <c r="I130" i="3" s="1"/>
  <c r="W49" i="4"/>
  <c r="V49" i="4"/>
  <c r="Z49" i="4"/>
  <c r="U82" i="4"/>
  <c r="S59" i="3"/>
  <c r="R59" i="3"/>
  <c r="Q59" i="3"/>
  <c r="T59" i="3"/>
  <c r="U59" i="3"/>
  <c r="L59" i="3"/>
  <c r="Q108" i="3"/>
  <c r="T108" i="3"/>
  <c r="S108" i="3"/>
  <c r="R108" i="3"/>
  <c r="U108" i="3"/>
  <c r="L108" i="3"/>
  <c r="Z54" i="3"/>
  <c r="Y54" i="3"/>
  <c r="X54" i="3"/>
  <c r="X54" i="4" s="1"/>
  <c r="W54" i="3"/>
  <c r="W54" i="4" s="1"/>
  <c r="V54" i="3"/>
  <c r="V54" i="4" s="1"/>
  <c r="M54" i="3"/>
  <c r="I105" i="3"/>
  <c r="J105" i="3"/>
  <c r="U39" i="3"/>
  <c r="T39" i="3"/>
  <c r="R39" i="3"/>
  <c r="Q39" i="3"/>
  <c r="S39" i="3"/>
  <c r="L39" i="3"/>
  <c r="K58" i="3"/>
  <c r="T92" i="3"/>
  <c r="Q92" i="3"/>
  <c r="S137" i="3"/>
  <c r="R137" i="3"/>
  <c r="U137" i="3"/>
  <c r="Q137" i="3"/>
  <c r="T137" i="3"/>
  <c r="L137" i="3"/>
  <c r="U31" i="3"/>
  <c r="T31" i="3"/>
  <c r="S31" i="3"/>
  <c r="R31" i="3"/>
  <c r="Q31" i="3"/>
  <c r="L31" i="3"/>
  <c r="U123" i="3"/>
  <c r="S123" i="3"/>
  <c r="R123" i="3"/>
  <c r="T123" i="3"/>
  <c r="L123" i="3"/>
  <c r="R130" i="3"/>
  <c r="U130" i="3"/>
  <c r="S130" i="3"/>
  <c r="T130" i="3"/>
  <c r="Q130" i="3"/>
  <c r="L130" i="3"/>
  <c r="X132" i="3"/>
  <c r="X132" i="4" s="1"/>
  <c r="V132" i="3"/>
  <c r="V132" i="4" s="1"/>
  <c r="Y132" i="3"/>
  <c r="Y132" i="4" s="1"/>
  <c r="Z132" i="3"/>
  <c r="W132" i="3"/>
  <c r="W132" i="4" s="1"/>
  <c r="M132" i="3"/>
  <c r="Y109" i="3"/>
  <c r="W109" i="3"/>
  <c r="V109" i="3"/>
  <c r="X109" i="3"/>
  <c r="Z109" i="3"/>
  <c r="M109" i="3"/>
  <c r="U131" i="3"/>
  <c r="S131" i="3"/>
  <c r="R131" i="3"/>
  <c r="Q131" i="3"/>
  <c r="T131" i="3"/>
  <c r="L131" i="3"/>
  <c r="U158" i="3"/>
  <c r="T158" i="3"/>
  <c r="S158" i="3"/>
  <c r="R158" i="3"/>
  <c r="Q158" i="3"/>
  <c r="L158" i="3"/>
  <c r="Z49" i="3"/>
  <c r="Y49" i="3"/>
  <c r="Y49" i="4" s="1"/>
  <c r="X49" i="3"/>
  <c r="X49" i="4" s="1"/>
  <c r="V49" i="3"/>
  <c r="W49" i="3"/>
  <c r="R49" i="4" s="1"/>
  <c r="M49" i="3"/>
  <c r="S43" i="3"/>
  <c r="Q43" i="3"/>
  <c r="T43" i="3"/>
  <c r="U43" i="3"/>
  <c r="R43" i="3"/>
  <c r="L43" i="3"/>
  <c r="W101" i="3"/>
  <c r="W101" i="4" s="1"/>
  <c r="V101" i="3"/>
  <c r="V101" i="4" s="1"/>
  <c r="Z101" i="3"/>
  <c r="X101" i="3"/>
  <c r="X101" i="4" s="1"/>
  <c r="Y101" i="3"/>
  <c r="M101" i="3"/>
  <c r="I121" i="3"/>
  <c r="J121" i="3"/>
  <c r="X106" i="3"/>
  <c r="V106" i="3"/>
  <c r="V106" i="4" s="1"/>
  <c r="Z106" i="3"/>
  <c r="Y106" i="3"/>
  <c r="Y106" i="4" s="1"/>
  <c r="W106" i="3"/>
  <c r="W106" i="4" s="1"/>
  <c r="M106" i="3"/>
  <c r="AE143" i="3"/>
  <c r="AD143" i="3"/>
  <c r="AC143" i="3"/>
  <c r="AB143" i="3"/>
  <c r="AA143" i="3"/>
  <c r="N143" i="3"/>
  <c r="Q61" i="3"/>
  <c r="U61" i="3"/>
  <c r="T61" i="3"/>
  <c r="R61" i="3"/>
  <c r="S61" i="3"/>
  <c r="L61" i="3"/>
  <c r="AC9" i="3"/>
  <c r="AB9" i="3"/>
  <c r="AA9" i="3"/>
  <c r="AD9" i="3"/>
  <c r="AE9" i="3"/>
  <c r="N9" i="3"/>
  <c r="Q79" i="3"/>
  <c r="T79" i="3"/>
  <c r="R79" i="3"/>
  <c r="U79" i="3"/>
  <c r="S79" i="3"/>
  <c r="L79" i="3"/>
  <c r="R82" i="3"/>
  <c r="U82" i="3"/>
  <c r="T82" i="3"/>
  <c r="S82" i="3"/>
  <c r="Q82" i="3"/>
  <c r="L82" i="3"/>
  <c r="I91" i="3"/>
  <c r="K91" i="3"/>
  <c r="U20" i="3"/>
  <c r="T20" i="3"/>
  <c r="S20" i="3"/>
  <c r="R20" i="3"/>
  <c r="Q20" i="3"/>
  <c r="L20" i="3"/>
  <c r="AB101" i="3"/>
  <c r="AE101" i="3"/>
  <c r="AD101" i="3"/>
  <c r="AA101" i="3"/>
  <c r="AC101" i="3"/>
  <c r="N101" i="3"/>
  <c r="H138" i="3"/>
  <c r="I138" i="3" s="1"/>
  <c r="H15" i="3"/>
  <c r="I15" i="3" s="1"/>
  <c r="H144" i="3"/>
  <c r="K144" i="3" s="1"/>
  <c r="H10" i="3"/>
  <c r="K10" i="3" s="1"/>
  <c r="H127" i="3"/>
  <c r="J127" i="3" s="1"/>
  <c r="I127" i="3"/>
  <c r="K123" i="3"/>
  <c r="K59" i="3"/>
  <c r="H110" i="3"/>
  <c r="J110" i="3" s="1"/>
  <c r="H38" i="3"/>
  <c r="K38" i="3" s="1"/>
  <c r="K79" i="3"/>
  <c r="H94" i="3"/>
  <c r="J94" i="3" s="1"/>
  <c r="H53" i="3"/>
  <c r="I53" i="3"/>
  <c r="CW53" i="1" s="1"/>
  <c r="K39" i="3"/>
  <c r="Q143" i="3"/>
  <c r="L143" i="3"/>
  <c r="K17" i="3"/>
  <c r="H33" i="3"/>
  <c r="K33" i="3" s="1"/>
  <c r="H97" i="3"/>
  <c r="K97" i="3" s="1"/>
  <c r="DG97" i="1" s="1"/>
  <c r="H34" i="3"/>
  <c r="I34" i="3" s="1"/>
  <c r="H85" i="3"/>
  <c r="J85" i="3" s="1"/>
  <c r="DB85" i="1" s="1"/>
  <c r="I23" i="3"/>
  <c r="H23" i="3"/>
  <c r="K23" i="3" s="1"/>
  <c r="H135" i="3"/>
  <c r="K135" i="3" s="1"/>
  <c r="H75" i="3"/>
  <c r="K75" i="3" s="1"/>
  <c r="H42" i="3"/>
  <c r="I42" i="3" s="1"/>
  <c r="K108" i="3"/>
  <c r="H116" i="3"/>
  <c r="K116" i="3" s="1"/>
  <c r="K94" i="3"/>
  <c r="H22" i="3"/>
  <c r="K22" i="3" s="1"/>
  <c r="H87" i="3"/>
  <c r="J87" i="3" s="1"/>
  <c r="I87" i="3"/>
  <c r="Z92" i="3"/>
  <c r="X92" i="3"/>
  <c r="V92" i="3"/>
  <c r="W92" i="3"/>
  <c r="Y92" i="3"/>
  <c r="M92" i="3"/>
  <c r="H25" i="3"/>
  <c r="J25" i="3" s="1"/>
  <c r="DB25" i="1" s="1"/>
  <c r="H81" i="3"/>
  <c r="K81" i="3" s="1"/>
  <c r="AC109" i="3"/>
  <c r="J28" i="3"/>
  <c r="I98" i="3"/>
  <c r="H98" i="3"/>
  <c r="J98" i="3" s="1"/>
  <c r="H29" i="3"/>
  <c r="K29" i="3" s="1"/>
  <c r="I54" i="3"/>
  <c r="H133" i="3"/>
  <c r="J133" i="3" s="1"/>
  <c r="DB133" i="1" s="1"/>
  <c r="H70" i="3"/>
  <c r="J70" i="3" s="1"/>
  <c r="J157" i="3"/>
  <c r="H157" i="3"/>
  <c r="K157" i="3" s="1"/>
  <c r="H78" i="3"/>
  <c r="J78" i="3" s="1"/>
  <c r="T109" i="3"/>
  <c r="H100" i="3"/>
  <c r="I100" i="3" s="1"/>
  <c r="H19" i="3"/>
  <c r="J19" i="3" s="1"/>
  <c r="I149" i="3"/>
  <c r="H149" i="3"/>
  <c r="K149" i="3" s="1"/>
  <c r="J9" i="3"/>
  <c r="H27" i="3"/>
  <c r="I27" i="3" s="1"/>
  <c r="I9" i="3"/>
  <c r="H76" i="3"/>
  <c r="J76" i="3" s="1"/>
  <c r="K82" i="3"/>
  <c r="J23" i="3"/>
  <c r="K131" i="3"/>
  <c r="J33" i="3"/>
  <c r="H89" i="3"/>
  <c r="K89" i="3" s="1"/>
  <c r="J131" i="3"/>
  <c r="H146" i="3"/>
  <c r="J146" i="3" s="1"/>
  <c r="H73" i="3"/>
  <c r="J73" i="3" s="1"/>
  <c r="J29" i="3"/>
  <c r="H30" i="3"/>
  <c r="J30" i="3" s="1"/>
  <c r="K65" i="3"/>
  <c r="J158" i="3"/>
  <c r="J62" i="3"/>
  <c r="H118" i="3"/>
  <c r="J118" i="3" s="1"/>
  <c r="I65" i="3"/>
  <c r="H65" i="3"/>
  <c r="J65" i="3" s="1"/>
  <c r="J150" i="3"/>
  <c r="J82" i="3"/>
  <c r="H142" i="3"/>
  <c r="K142" i="3" s="1"/>
  <c r="I62" i="3"/>
  <c r="H62" i="3"/>
  <c r="K62" i="3" s="1"/>
  <c r="K106" i="3"/>
  <c r="H84" i="3"/>
  <c r="K84" i="3" s="1"/>
  <c r="H69" i="3"/>
  <c r="J69" i="3" s="1"/>
  <c r="K20" i="3"/>
  <c r="H147" i="3"/>
  <c r="I147" i="3" s="1"/>
  <c r="H83" i="3"/>
  <c r="K83" i="3" s="1"/>
  <c r="J10" i="3"/>
  <c r="H37" i="3"/>
  <c r="J37" i="3" s="1"/>
  <c r="I37" i="3"/>
  <c r="K31" i="3"/>
  <c r="H96" i="3"/>
  <c r="H120" i="3"/>
  <c r="J120" i="3" s="1"/>
  <c r="H51" i="3"/>
  <c r="K102" i="3"/>
  <c r="H154" i="3"/>
  <c r="H80" i="3"/>
  <c r="J80" i="3" s="1"/>
  <c r="K137" i="3"/>
  <c r="J123" i="3"/>
  <c r="H140" i="3"/>
  <c r="K140" i="3" s="1"/>
  <c r="H72" i="3"/>
  <c r="J72" i="3" s="1"/>
  <c r="H13" i="3"/>
  <c r="K13" i="3" s="1"/>
  <c r="K158" i="3"/>
  <c r="K60" i="3"/>
  <c r="I151" i="3"/>
  <c r="H151" i="3"/>
  <c r="K151" i="3" s="1"/>
  <c r="H52" i="3"/>
  <c r="J52" i="3" s="1"/>
  <c r="U49" i="3"/>
  <c r="T49" i="3"/>
  <c r="S49" i="3"/>
  <c r="R49" i="3"/>
  <c r="Q49" i="3"/>
  <c r="L49" i="3"/>
  <c r="J143" i="3"/>
  <c r="H125" i="3"/>
  <c r="H57" i="3"/>
  <c r="J57" i="3" s="1"/>
  <c r="K152" i="3"/>
  <c r="I152" i="3"/>
  <c r="CW152" i="1" s="1"/>
  <c r="H152" i="3"/>
  <c r="J152" i="3" s="1"/>
  <c r="I90" i="3"/>
  <c r="H90" i="3"/>
  <c r="J90" i="3" s="1"/>
  <c r="H21" i="3"/>
  <c r="J21" i="3" s="1"/>
  <c r="I21" i="3"/>
  <c r="CW21" i="1" s="1"/>
  <c r="H71" i="3"/>
  <c r="I71" i="3" s="1"/>
  <c r="H155" i="3"/>
  <c r="I155" i="3" s="1"/>
  <c r="H128" i="3"/>
  <c r="I128" i="3" s="1"/>
  <c r="H24" i="3"/>
  <c r="I24" i="3" s="1"/>
  <c r="H74" i="3"/>
  <c r="J74" i="3" s="1"/>
  <c r="H88" i="3"/>
  <c r="K88" i="3" s="1"/>
  <c r="I88" i="3"/>
  <c r="I104" i="3"/>
  <c r="H104" i="3"/>
  <c r="K104" i="3" s="1"/>
  <c r="H111" i="3"/>
  <c r="K111" i="3" s="1"/>
  <c r="H95" i="3"/>
  <c r="K95" i="3" s="1"/>
  <c r="K127" i="3"/>
  <c r="J31" i="3"/>
  <c r="H77" i="3"/>
  <c r="K87" i="3"/>
  <c r="J79" i="3"/>
  <c r="H148" i="3"/>
  <c r="K148" i="3" s="1"/>
  <c r="H68" i="3"/>
  <c r="J68" i="3" s="1"/>
  <c r="H126" i="3"/>
  <c r="J126" i="3" s="1"/>
  <c r="DB126" i="1" s="1"/>
  <c r="I60" i="3"/>
  <c r="H60" i="3"/>
  <c r="J60" i="3" s="1"/>
  <c r="J13" i="3"/>
  <c r="J137" i="3"/>
  <c r="J58" i="3"/>
  <c r="H107" i="3"/>
  <c r="K107" i="3" s="1"/>
  <c r="I102" i="3"/>
  <c r="H102" i="3"/>
  <c r="J102" i="3" s="1"/>
  <c r="K105" i="3"/>
  <c r="K24" i="3"/>
  <c r="J75" i="3"/>
  <c r="H136" i="3"/>
  <c r="K136" i="3" s="1"/>
  <c r="H44" i="3"/>
  <c r="K44" i="3" s="1"/>
  <c r="K146" i="3"/>
  <c r="K54" i="3"/>
  <c r="J61" i="3"/>
  <c r="H145" i="3"/>
  <c r="K145" i="3" s="1"/>
  <c r="I67" i="3"/>
  <c r="CW67" i="1" s="1"/>
  <c r="H67" i="3"/>
  <c r="J67" i="3" s="1"/>
  <c r="H150" i="3"/>
  <c r="I150" i="3" s="1"/>
  <c r="CW150" i="1" s="1"/>
  <c r="H63" i="3"/>
  <c r="I63" i="3" s="1"/>
  <c r="H28" i="3"/>
  <c r="I28" i="3" s="1"/>
  <c r="H117" i="3"/>
  <c r="K78" i="3"/>
  <c r="DG78" i="1" s="1"/>
  <c r="H50" i="3"/>
  <c r="K50" i="3" s="1"/>
  <c r="K34" i="3"/>
  <c r="H103" i="3"/>
  <c r="K103" i="3" s="1"/>
  <c r="J20" i="3"/>
  <c r="H35" i="3"/>
  <c r="J35" i="3" s="1"/>
  <c r="H36" i="3"/>
  <c r="I36" i="3" s="1"/>
  <c r="K76" i="3"/>
  <c r="J39" i="3"/>
  <c r="H134" i="3"/>
  <c r="J134" i="3" s="1"/>
  <c r="H55" i="3"/>
  <c r="J55" i="3" s="1"/>
  <c r="U101" i="3"/>
  <c r="K37" i="3"/>
  <c r="DG37" i="1" s="1"/>
  <c r="J91" i="3"/>
  <c r="H115" i="3"/>
  <c r="H47" i="3"/>
  <c r="J47" i="3" s="1"/>
  <c r="H14" i="3"/>
  <c r="J14" i="3" s="1"/>
  <c r="K128" i="3"/>
  <c r="K69" i="3"/>
  <c r="J130" i="3"/>
  <c r="H45" i="3"/>
  <c r="J45" i="3" s="1"/>
  <c r="H93" i="3"/>
  <c r="K93" i="3" s="1"/>
  <c r="I48" i="3"/>
  <c r="H48" i="3"/>
  <c r="AB49" i="3"/>
  <c r="K61" i="3"/>
  <c r="H114" i="3"/>
  <c r="K114" i="3" s="1"/>
  <c r="H66" i="3"/>
  <c r="K66" i="3" s="1"/>
  <c r="K132" i="3"/>
  <c r="DG132" i="1" s="1"/>
  <c r="J88" i="3"/>
  <c r="J43" i="3"/>
  <c r="H141" i="3"/>
  <c r="K141" i="3" s="1"/>
  <c r="H46" i="3"/>
  <c r="K46" i="3" s="1"/>
  <c r="H139" i="3"/>
  <c r="I139" i="3" s="1"/>
  <c r="H119" i="3"/>
  <c r="I119" i="3" s="1"/>
  <c r="H112" i="3"/>
  <c r="I112" i="3" s="1"/>
  <c r="H11" i="3"/>
  <c r="J11" i="3" s="1"/>
  <c r="H153" i="3"/>
  <c r="K130" i="3"/>
  <c r="J140" i="3"/>
  <c r="AA43" i="3"/>
  <c r="AC43" i="3"/>
  <c r="N43" i="3"/>
  <c r="H18" i="3"/>
  <c r="K18" i="3" s="1"/>
  <c r="U132" i="3"/>
  <c r="S132" i="3"/>
  <c r="Q132" i="3"/>
  <c r="R132" i="3"/>
  <c r="T132" i="3"/>
  <c r="L132" i="3"/>
  <c r="AD92" i="3"/>
  <c r="AC92" i="3"/>
  <c r="AA92" i="3"/>
  <c r="AB92" i="3"/>
  <c r="AE92" i="3"/>
  <c r="N92" i="3"/>
  <c r="S106" i="3"/>
  <c r="T106" i="3"/>
  <c r="Q106" i="3"/>
  <c r="U106" i="3"/>
  <c r="R106" i="3"/>
  <c r="L106" i="3"/>
  <c r="H26" i="3"/>
  <c r="K26" i="3" s="1"/>
  <c r="H156" i="3"/>
  <c r="K156" i="3" s="1"/>
  <c r="K71" i="3"/>
  <c r="H16" i="3"/>
  <c r="J16" i="3" s="1"/>
  <c r="H122" i="3"/>
  <c r="J122" i="3" s="1"/>
  <c r="I64" i="3"/>
  <c r="H64" i="3"/>
  <c r="K64" i="3" s="1"/>
  <c r="K98" i="3"/>
  <c r="J66" i="3"/>
  <c r="H99" i="3"/>
  <c r="I99" i="3" s="1"/>
  <c r="H56" i="3"/>
  <c r="J56" i="3" s="1"/>
  <c r="K73" i="3"/>
  <c r="J116" i="3"/>
  <c r="I12" i="3"/>
  <c r="CW12" i="1" s="1"/>
  <c r="H12" i="3"/>
  <c r="K12" i="3" s="1"/>
  <c r="H86" i="3"/>
  <c r="K86" i="3" s="1"/>
  <c r="K121" i="3"/>
  <c r="J108" i="3"/>
  <c r="J59" i="3"/>
  <c r="H113" i="3"/>
  <c r="K113" i="3" s="1"/>
  <c r="I40" i="3"/>
  <c r="H40" i="3"/>
  <c r="K40" i="3" s="1"/>
  <c r="K118" i="3"/>
  <c r="J111" i="3"/>
  <c r="H124" i="3"/>
  <c r="K124" i="3" s="1"/>
  <c r="H41" i="3"/>
  <c r="K41" i="3" s="1"/>
  <c r="H129" i="3"/>
  <c r="I129" i="3" s="1"/>
  <c r="H17" i="3"/>
  <c r="I17" i="3" s="1"/>
  <c r="CW139" i="1"/>
  <c r="CW20" i="1"/>
  <c r="CW27" i="1"/>
  <c r="DB69" i="1"/>
  <c r="DB118" i="1"/>
  <c r="CW102" i="1"/>
  <c r="CW54" i="1"/>
  <c r="DG135" i="1"/>
  <c r="DG101" i="1"/>
  <c r="DB109" i="1"/>
  <c r="DB35" i="1"/>
  <c r="DG124" i="1"/>
  <c r="DB88" i="1"/>
  <c r="DG103" i="1"/>
  <c r="DB75" i="1"/>
  <c r="DB121" i="1"/>
  <c r="DB132" i="1"/>
  <c r="DG89" i="1"/>
  <c r="DB60" i="1"/>
  <c r="CW82" i="1"/>
  <c r="DB106" i="1"/>
  <c r="DG13" i="1"/>
  <c r="DG109" i="1"/>
  <c r="DB67" i="1"/>
  <c r="DB137" i="1"/>
  <c r="DG88" i="1"/>
  <c r="CW34" i="1"/>
  <c r="DB10" i="1"/>
  <c r="DB61" i="1"/>
  <c r="DG58" i="1"/>
  <c r="DB87" i="1"/>
  <c r="DB101" i="1"/>
  <c r="DG12" i="1"/>
  <c r="DB79" i="1"/>
  <c r="CW90" i="1"/>
  <c r="CW37" i="1"/>
  <c r="DB131" i="1"/>
  <c r="CW98" i="1"/>
  <c r="CW151" i="1"/>
  <c r="CW23" i="1"/>
  <c r="DG22" i="1"/>
  <c r="DG111" i="1"/>
  <c r="CW65" i="1"/>
  <c r="CW88" i="1"/>
  <c r="DG128" i="1"/>
  <c r="CW79" i="1"/>
  <c r="CW49" i="1"/>
  <c r="DB52" i="1"/>
  <c r="CW130" i="1"/>
  <c r="DG62" i="1"/>
  <c r="DB108" i="1"/>
  <c r="DG143" i="1"/>
  <c r="DB37" i="1"/>
  <c r="CW24" i="1"/>
  <c r="CW39" i="1"/>
  <c r="DG71" i="1"/>
  <c r="CW17" i="1"/>
  <c r="CW60" i="1"/>
  <c r="DB134" i="1"/>
  <c r="CW62" i="1"/>
  <c r="CW106" i="1"/>
  <c r="CW40" i="1"/>
  <c r="CW43" i="1"/>
  <c r="DG65" i="1"/>
  <c r="DG118" i="1"/>
  <c r="DG33" i="1"/>
  <c r="DB90" i="1"/>
  <c r="CW92" i="1"/>
  <c r="DG10" i="1"/>
  <c r="DG108" i="1"/>
  <c r="CW64" i="1"/>
  <c r="DB110" i="1"/>
  <c r="DG44" i="1"/>
  <c r="CW132" i="1"/>
  <c r="Z21" i="4" l="1"/>
  <c r="U58" i="4"/>
  <c r="DF106" i="1"/>
  <c r="CV106" i="1"/>
  <c r="Z122" i="4"/>
  <c r="U36" i="4"/>
  <c r="AA152" i="4"/>
  <c r="AE152" i="4"/>
  <c r="AE31" i="4"/>
  <c r="U149" i="4"/>
  <c r="J114" i="3"/>
  <c r="S101" i="4"/>
  <c r="R101" i="4"/>
  <c r="U101" i="4"/>
  <c r="T101" i="4"/>
  <c r="CW101" i="1"/>
  <c r="Z59" i="4"/>
  <c r="K36" i="3"/>
  <c r="U112" i="4"/>
  <c r="AE93" i="4"/>
  <c r="Z134" i="4"/>
  <c r="AE146" i="4"/>
  <c r="AD146" i="4"/>
  <c r="AE105" i="4"/>
  <c r="X52" i="4"/>
  <c r="CU52" i="1" s="1"/>
  <c r="Z52" i="4"/>
  <c r="Z120" i="4"/>
  <c r="W120" i="4"/>
  <c r="Z62" i="4"/>
  <c r="Z131" i="4"/>
  <c r="R109" i="3"/>
  <c r="AE29" i="4"/>
  <c r="AB29" i="4"/>
  <c r="AE94" i="4"/>
  <c r="Z110" i="4"/>
  <c r="Y110" i="4"/>
  <c r="CV110" i="1" s="1"/>
  <c r="J41" i="3"/>
  <c r="K70" i="3"/>
  <c r="K110" i="3"/>
  <c r="U64" i="4"/>
  <c r="J145" i="3"/>
  <c r="U139" i="4"/>
  <c r="AC66" i="4"/>
  <c r="AE66" i="4"/>
  <c r="AA49" i="3"/>
  <c r="V130" i="4"/>
  <c r="Z130" i="4"/>
  <c r="R101" i="3"/>
  <c r="AE76" i="4"/>
  <c r="I50" i="3"/>
  <c r="Z67" i="4"/>
  <c r="I136" i="3"/>
  <c r="U102" i="4"/>
  <c r="K122" i="3"/>
  <c r="AE95" i="4"/>
  <c r="AE104" i="4"/>
  <c r="U71" i="4"/>
  <c r="K85" i="3"/>
  <c r="U151" i="4"/>
  <c r="AE137" i="4"/>
  <c r="Z69" i="4"/>
  <c r="Z82" i="4"/>
  <c r="AE65" i="4"/>
  <c r="Z33" i="4"/>
  <c r="AE149" i="4"/>
  <c r="Q109" i="3"/>
  <c r="I133" i="3"/>
  <c r="R98" i="4"/>
  <c r="U98" i="4"/>
  <c r="AE116" i="4"/>
  <c r="U23" i="4"/>
  <c r="J97" i="3"/>
  <c r="AE39" i="4"/>
  <c r="AC39" i="4"/>
  <c r="AE59" i="4"/>
  <c r="U15" i="4"/>
  <c r="L92" i="3"/>
  <c r="J32" i="3"/>
  <c r="K32" i="3"/>
  <c r="I32" i="3"/>
  <c r="AE50" i="4"/>
  <c r="CW104" i="1"/>
  <c r="U104" i="4"/>
  <c r="AE60" i="4"/>
  <c r="X133" i="4"/>
  <c r="DE133" i="1" s="1"/>
  <c r="Z133" i="4"/>
  <c r="AE108" i="4"/>
  <c r="AD108" i="4"/>
  <c r="U138" i="4"/>
  <c r="Z16" i="4"/>
  <c r="W16" i="4"/>
  <c r="Z140" i="4"/>
  <c r="Z35" i="4"/>
  <c r="Y35" i="4"/>
  <c r="Z58" i="4"/>
  <c r="V58" i="4"/>
  <c r="U37" i="4"/>
  <c r="Z23" i="4"/>
  <c r="J136" i="3"/>
  <c r="U42" i="4"/>
  <c r="AB43" i="4"/>
  <c r="AE43" i="4"/>
  <c r="AE109" i="4"/>
  <c r="AD109" i="4"/>
  <c r="AC109" i="4"/>
  <c r="AA109" i="4"/>
  <c r="AB109" i="4"/>
  <c r="AE121" i="4"/>
  <c r="Z150" i="4"/>
  <c r="AE86" i="4"/>
  <c r="DG141" i="1"/>
  <c r="AE141" i="4"/>
  <c r="AC49" i="3"/>
  <c r="Q101" i="3"/>
  <c r="AE145" i="4"/>
  <c r="Z13" i="4"/>
  <c r="W13" i="4"/>
  <c r="U88" i="4"/>
  <c r="J81" i="3"/>
  <c r="Z29" i="4"/>
  <c r="Y29" i="4"/>
  <c r="Z19" i="4"/>
  <c r="X19" i="4"/>
  <c r="K19" i="3"/>
  <c r="U87" i="4"/>
  <c r="U127" i="4"/>
  <c r="S127" i="4"/>
  <c r="CW36" i="1"/>
  <c r="AE40" i="4"/>
  <c r="AE12" i="4"/>
  <c r="U99" i="4"/>
  <c r="I16" i="3"/>
  <c r="AE18" i="4"/>
  <c r="AE130" i="4"/>
  <c r="AD130" i="4"/>
  <c r="Z43" i="4"/>
  <c r="W43" i="4"/>
  <c r="J50" i="3"/>
  <c r="Z14" i="4"/>
  <c r="I47" i="3"/>
  <c r="S101" i="3"/>
  <c r="Z20" i="4"/>
  <c r="X61" i="4"/>
  <c r="DE61" i="1" s="1"/>
  <c r="Z61" i="4"/>
  <c r="J129" i="3"/>
  <c r="Z137" i="4"/>
  <c r="Z60" i="4"/>
  <c r="Z79" i="4"/>
  <c r="AE88" i="4"/>
  <c r="Z90" i="4"/>
  <c r="I57" i="3"/>
  <c r="I13" i="3"/>
  <c r="Z37" i="4"/>
  <c r="Y37" i="4"/>
  <c r="J128" i="3"/>
  <c r="Z65" i="4"/>
  <c r="W65" i="4"/>
  <c r="Z73" i="4"/>
  <c r="AE82" i="4"/>
  <c r="U100" i="4"/>
  <c r="AB157" i="4"/>
  <c r="AE157" i="4"/>
  <c r="K72" i="3"/>
  <c r="N109" i="3"/>
  <c r="O109" i="3" s="1"/>
  <c r="I25" i="3"/>
  <c r="Z87" i="4"/>
  <c r="J142" i="3"/>
  <c r="K21" i="3"/>
  <c r="S143" i="3"/>
  <c r="V94" i="4"/>
  <c r="Z94" i="4"/>
  <c r="Z127" i="4"/>
  <c r="X127" i="4"/>
  <c r="S92" i="3"/>
  <c r="U130" i="4"/>
  <c r="T106" i="4"/>
  <c r="U158" i="4"/>
  <c r="U43" i="4"/>
  <c r="Y109" i="4"/>
  <c r="CV109" i="1" s="1"/>
  <c r="W109" i="4"/>
  <c r="V109" i="4"/>
  <c r="Z109" i="4"/>
  <c r="X109" i="4"/>
  <c r="AE46" i="4"/>
  <c r="U67" i="4"/>
  <c r="Z80" i="4"/>
  <c r="X80" i="4"/>
  <c r="AE81" i="4"/>
  <c r="AA123" i="4"/>
  <c r="AE123" i="4"/>
  <c r="I56" i="3"/>
  <c r="AE128" i="4"/>
  <c r="AC128" i="4"/>
  <c r="Z75" i="4"/>
  <c r="I80" i="3"/>
  <c r="S80" i="3" s="1"/>
  <c r="U17" i="4"/>
  <c r="U40" i="4"/>
  <c r="U12" i="4"/>
  <c r="Z66" i="4"/>
  <c r="W66" i="4"/>
  <c r="AE71" i="4"/>
  <c r="Z88" i="4"/>
  <c r="AE61" i="4"/>
  <c r="U48" i="4"/>
  <c r="T101" i="3"/>
  <c r="AE103" i="4"/>
  <c r="U28" i="4"/>
  <c r="J107" i="3"/>
  <c r="K47" i="3"/>
  <c r="U60" i="4"/>
  <c r="AE87" i="4"/>
  <c r="AB87" i="4"/>
  <c r="Z74" i="4"/>
  <c r="U90" i="4"/>
  <c r="AE13" i="4"/>
  <c r="AC102" i="4"/>
  <c r="AE102" i="4"/>
  <c r="Z10" i="4"/>
  <c r="W10" i="4"/>
  <c r="CY10" i="1" s="1"/>
  <c r="AD106" i="4"/>
  <c r="AC106" i="4"/>
  <c r="AB106" i="4"/>
  <c r="AE106" i="4"/>
  <c r="AA106" i="4"/>
  <c r="U65" i="4"/>
  <c r="R65" i="4"/>
  <c r="Z146" i="4"/>
  <c r="V76" i="4"/>
  <c r="Z76" i="4"/>
  <c r="Z157" i="4"/>
  <c r="W157" i="4"/>
  <c r="T54" i="4"/>
  <c r="U54" i="4"/>
  <c r="R54" i="4"/>
  <c r="S54" i="4"/>
  <c r="AD109" i="3"/>
  <c r="K27" i="3"/>
  <c r="AA75" i="4"/>
  <c r="AE75" i="4"/>
  <c r="K120" i="3"/>
  <c r="T143" i="3"/>
  <c r="AE79" i="4"/>
  <c r="J144" i="3"/>
  <c r="Z121" i="4"/>
  <c r="V121" i="4"/>
  <c r="U92" i="3"/>
  <c r="U123" i="4"/>
  <c r="S49" i="4"/>
  <c r="AD92" i="4"/>
  <c r="AC92" i="4"/>
  <c r="AE92" i="4"/>
  <c r="AB92" i="4"/>
  <c r="AA92" i="4"/>
  <c r="Z56" i="4"/>
  <c r="X56" i="4"/>
  <c r="AE69" i="4"/>
  <c r="AE107" i="4"/>
  <c r="U21" i="4"/>
  <c r="Z30" i="4"/>
  <c r="Y28" i="4"/>
  <c r="Z28" i="4"/>
  <c r="U53" i="4"/>
  <c r="U109" i="4"/>
  <c r="R109" i="4"/>
  <c r="T109" i="4"/>
  <c r="S109" i="4"/>
  <c r="AE118" i="4"/>
  <c r="I114" i="3"/>
  <c r="Y47" i="4"/>
  <c r="Z47" i="4"/>
  <c r="AE78" i="4"/>
  <c r="AD78" i="4"/>
  <c r="AE148" i="4"/>
  <c r="Z57" i="4"/>
  <c r="Y57" i="4"/>
  <c r="AE158" i="4"/>
  <c r="AA158" i="4"/>
  <c r="K57" i="3"/>
  <c r="Z78" i="4"/>
  <c r="V25" i="4"/>
  <c r="DC25" i="1" s="1"/>
  <c r="Z25" i="4"/>
  <c r="Z85" i="4"/>
  <c r="DB57" i="1"/>
  <c r="DB62" i="1"/>
  <c r="DG46" i="1"/>
  <c r="DG86" i="1"/>
  <c r="DG146" i="1"/>
  <c r="U129" i="4"/>
  <c r="AE113" i="4"/>
  <c r="Z116" i="4"/>
  <c r="K30" i="3"/>
  <c r="AE156" i="4"/>
  <c r="AE43" i="3"/>
  <c r="Z11" i="4"/>
  <c r="K28" i="3"/>
  <c r="N28" i="3" s="1"/>
  <c r="I93" i="3"/>
  <c r="Z91" i="4"/>
  <c r="Z55" i="4"/>
  <c r="I103" i="3"/>
  <c r="U63" i="4"/>
  <c r="AB54" i="4"/>
  <c r="AE54" i="4"/>
  <c r="AD54" i="4"/>
  <c r="AC54" i="4"/>
  <c r="AA54" i="4"/>
  <c r="AE24" i="4"/>
  <c r="I126" i="3"/>
  <c r="U24" i="4"/>
  <c r="Z152" i="4"/>
  <c r="J124" i="3"/>
  <c r="Z72" i="4"/>
  <c r="V72" i="4"/>
  <c r="AE83" i="4"/>
  <c r="AB62" i="4"/>
  <c r="AE62" i="4"/>
  <c r="Z118" i="4"/>
  <c r="W118" i="4"/>
  <c r="I146" i="3"/>
  <c r="U109" i="3"/>
  <c r="K133" i="3"/>
  <c r="I29" i="3"/>
  <c r="AA109" i="3"/>
  <c r="AE22" i="4"/>
  <c r="I135" i="3"/>
  <c r="U34" i="4"/>
  <c r="AE38" i="4"/>
  <c r="AE10" i="4"/>
  <c r="AC10" i="4"/>
  <c r="U121" i="4"/>
  <c r="U132" i="4"/>
  <c r="T132" i="4"/>
  <c r="S132" i="4"/>
  <c r="R132" i="4"/>
  <c r="T49" i="4"/>
  <c r="X92" i="4"/>
  <c r="V92" i="4"/>
  <c r="Z92" i="4"/>
  <c r="Y92" i="4"/>
  <c r="W92" i="4"/>
  <c r="Z68" i="4"/>
  <c r="AB84" i="4"/>
  <c r="AA84" i="4"/>
  <c r="AE84" i="4"/>
  <c r="AE17" i="4"/>
  <c r="AE49" i="4"/>
  <c r="AD49" i="4"/>
  <c r="AC49" i="4"/>
  <c r="AB49" i="4"/>
  <c r="AA49" i="4"/>
  <c r="DB30" i="1"/>
  <c r="AE73" i="4"/>
  <c r="AD73" i="4"/>
  <c r="AE49" i="3"/>
  <c r="AE37" i="4"/>
  <c r="AC37" i="4"/>
  <c r="AE34" i="4"/>
  <c r="Z126" i="4"/>
  <c r="X126" i="4"/>
  <c r="DE126" i="1" s="1"/>
  <c r="U152" i="4"/>
  <c r="U147" i="4"/>
  <c r="Z70" i="4"/>
  <c r="AE97" i="4"/>
  <c r="AE91" i="4"/>
  <c r="AD91" i="4"/>
  <c r="Z105" i="4"/>
  <c r="U143" i="4"/>
  <c r="U92" i="4"/>
  <c r="S92" i="4"/>
  <c r="R92" i="4"/>
  <c r="T92" i="4"/>
  <c r="X111" i="4"/>
  <c r="Z111" i="4"/>
  <c r="AE114" i="4"/>
  <c r="AA114" i="4"/>
  <c r="AE136" i="4"/>
  <c r="AE131" i="4"/>
  <c r="DG31" i="1"/>
  <c r="AE41" i="4"/>
  <c r="AA41" i="4"/>
  <c r="AE98" i="4"/>
  <c r="AD132" i="4"/>
  <c r="AC132" i="4"/>
  <c r="AB132" i="4"/>
  <c r="AA132" i="4"/>
  <c r="AE132" i="4"/>
  <c r="U150" i="4"/>
  <c r="X31" i="4"/>
  <c r="DE31" i="1" s="1"/>
  <c r="Z31" i="4"/>
  <c r="U128" i="4"/>
  <c r="Z143" i="4"/>
  <c r="Y143" i="4"/>
  <c r="AE140" i="4"/>
  <c r="AB140" i="4"/>
  <c r="U62" i="4"/>
  <c r="U27" i="4"/>
  <c r="AE135" i="4"/>
  <c r="AB144" i="4"/>
  <c r="AE144" i="4"/>
  <c r="AE58" i="4"/>
  <c r="DG81" i="1"/>
  <c r="DG114" i="1"/>
  <c r="DG121" i="1"/>
  <c r="DB47" i="1"/>
  <c r="CW109" i="1"/>
  <c r="DE132" i="1"/>
  <c r="DG29" i="1"/>
  <c r="AD124" i="4"/>
  <c r="AE124" i="4"/>
  <c r="Z108" i="4"/>
  <c r="Y108" i="4"/>
  <c r="DF108" i="1" s="1"/>
  <c r="X108" i="4"/>
  <c r="K126" i="3"/>
  <c r="AE64" i="4"/>
  <c r="AE26" i="4"/>
  <c r="AB43" i="3"/>
  <c r="U119" i="4"/>
  <c r="I66" i="3"/>
  <c r="AD49" i="3"/>
  <c r="Z45" i="4"/>
  <c r="V45" i="4"/>
  <c r="L101" i="3"/>
  <c r="O101" i="3" s="1"/>
  <c r="Z39" i="4"/>
  <c r="J84" i="3"/>
  <c r="AE44" i="4"/>
  <c r="Z102" i="4"/>
  <c r="Y102" i="4"/>
  <c r="K25" i="3"/>
  <c r="AE127" i="4"/>
  <c r="AE111" i="4"/>
  <c r="U155" i="4"/>
  <c r="J135" i="3"/>
  <c r="M135" i="3" s="1"/>
  <c r="K52" i="3"/>
  <c r="AE151" i="4"/>
  <c r="Z123" i="4"/>
  <c r="I120" i="3"/>
  <c r="AB20" i="4"/>
  <c r="AE20" i="4"/>
  <c r="AE142" i="4"/>
  <c r="DB158" i="1"/>
  <c r="Z158" i="4"/>
  <c r="AE89" i="4"/>
  <c r="S109" i="3"/>
  <c r="I70" i="3"/>
  <c r="Z98" i="4"/>
  <c r="Y98" i="4"/>
  <c r="AE109" i="3"/>
  <c r="I116" i="3"/>
  <c r="AE23" i="4"/>
  <c r="AE33" i="4"/>
  <c r="R143" i="3"/>
  <c r="I110" i="3"/>
  <c r="I144" i="3"/>
  <c r="R144" i="3" s="1"/>
  <c r="U91" i="4"/>
  <c r="Q123" i="3"/>
  <c r="T105" i="4"/>
  <c r="U105" i="4"/>
  <c r="U137" i="4"/>
  <c r="AD101" i="4"/>
  <c r="AA101" i="4"/>
  <c r="AE101" i="4"/>
  <c r="AC101" i="4"/>
  <c r="AB101" i="4"/>
  <c r="Q100" i="3"/>
  <c r="T100" i="3"/>
  <c r="S100" i="3"/>
  <c r="U100" i="3"/>
  <c r="R100" i="3"/>
  <c r="L100" i="3"/>
  <c r="CW100" i="1"/>
  <c r="Z16" i="3"/>
  <c r="Y16" i="3"/>
  <c r="Y16" i="4" s="1"/>
  <c r="X16" i="3"/>
  <c r="X16" i="4" s="1"/>
  <c r="W16" i="3"/>
  <c r="V16" i="3"/>
  <c r="V16" i="4" s="1"/>
  <c r="M16" i="3"/>
  <c r="Z11" i="3"/>
  <c r="Y11" i="3"/>
  <c r="Y11" i="4" s="1"/>
  <c r="DF11" i="1" s="1"/>
  <c r="X11" i="3"/>
  <c r="X11" i="4" s="1"/>
  <c r="W11" i="3"/>
  <c r="W11" i="4" s="1"/>
  <c r="DD11" i="1" s="1"/>
  <c r="V11" i="3"/>
  <c r="V11" i="4" s="1"/>
  <c r="M11" i="3"/>
  <c r="AC83" i="3"/>
  <c r="AD83" i="3"/>
  <c r="AB83" i="3"/>
  <c r="AA83" i="3"/>
  <c r="AE83" i="3"/>
  <c r="N83" i="3"/>
  <c r="Y74" i="3"/>
  <c r="Y74" i="4" s="1"/>
  <c r="X74" i="3"/>
  <c r="X74" i="4" s="1"/>
  <c r="W74" i="3"/>
  <c r="W74" i="4" s="1"/>
  <c r="V74" i="3"/>
  <c r="V74" i="4" s="1"/>
  <c r="Z74" i="3"/>
  <c r="M74" i="3"/>
  <c r="Q99" i="3"/>
  <c r="U99" i="3"/>
  <c r="T99" i="3"/>
  <c r="R99" i="3"/>
  <c r="S99" i="3"/>
  <c r="L99" i="3"/>
  <c r="CW99" i="1"/>
  <c r="AE64" i="3"/>
  <c r="AD64" i="3"/>
  <c r="AC64" i="3"/>
  <c r="AA64" i="3"/>
  <c r="AB64" i="3"/>
  <c r="N64" i="3"/>
  <c r="DG64" i="1"/>
  <c r="U15" i="3"/>
  <c r="T15" i="3"/>
  <c r="S15" i="3"/>
  <c r="R15" i="3"/>
  <c r="Q15" i="3"/>
  <c r="L15" i="3"/>
  <c r="AE18" i="3"/>
  <c r="AD18" i="3"/>
  <c r="AC18" i="3"/>
  <c r="AB18" i="3"/>
  <c r="AA18" i="3"/>
  <c r="N18" i="3"/>
  <c r="S138" i="3"/>
  <c r="U138" i="3"/>
  <c r="Q138" i="3"/>
  <c r="R138" i="3"/>
  <c r="T138" i="3"/>
  <c r="L138" i="3"/>
  <c r="Z41" i="3"/>
  <c r="X41" i="3"/>
  <c r="AC41" i="4" s="1"/>
  <c r="V41" i="3"/>
  <c r="W41" i="3"/>
  <c r="AB41" i="4" s="1"/>
  <c r="Y41" i="3"/>
  <c r="AD41" i="4" s="1"/>
  <c r="M41" i="3"/>
  <c r="X58" i="3"/>
  <c r="X58" i="4" s="1"/>
  <c r="W58" i="3"/>
  <c r="R58" i="4" s="1"/>
  <c r="V58" i="3"/>
  <c r="AA58" i="4" s="1"/>
  <c r="Y58" i="3"/>
  <c r="Y58" i="4" s="1"/>
  <c r="Z58" i="3"/>
  <c r="M58" i="3"/>
  <c r="J63" i="3"/>
  <c r="J96" i="3"/>
  <c r="K96" i="3"/>
  <c r="DG96" i="1" s="1"/>
  <c r="U9" i="3"/>
  <c r="T9" i="3"/>
  <c r="S9" i="3"/>
  <c r="R9" i="3"/>
  <c r="Q9" i="3"/>
  <c r="L9" i="3"/>
  <c r="AC17" i="3"/>
  <c r="AB17" i="3"/>
  <c r="AA17" i="3"/>
  <c r="AD17" i="3"/>
  <c r="AE17" i="3"/>
  <c r="N17" i="3"/>
  <c r="AD124" i="3"/>
  <c r="AC124" i="3"/>
  <c r="AA124" i="3"/>
  <c r="AB124" i="3"/>
  <c r="AE124" i="3"/>
  <c r="N124" i="3"/>
  <c r="AC113" i="3"/>
  <c r="AA113" i="3"/>
  <c r="AE113" i="3"/>
  <c r="AB113" i="3"/>
  <c r="AD113" i="3"/>
  <c r="N113" i="3"/>
  <c r="U12" i="3"/>
  <c r="T12" i="3"/>
  <c r="S12" i="3"/>
  <c r="R12" i="3"/>
  <c r="Q12" i="3"/>
  <c r="L12" i="3"/>
  <c r="AE26" i="3"/>
  <c r="AD26" i="3"/>
  <c r="AC26" i="3"/>
  <c r="AB26" i="3"/>
  <c r="AA26" i="3"/>
  <c r="N26" i="3"/>
  <c r="I153" i="3"/>
  <c r="K153" i="3"/>
  <c r="I141" i="3"/>
  <c r="AA114" i="3"/>
  <c r="AD114" i="3"/>
  <c r="AE114" i="3"/>
  <c r="AB114" i="3"/>
  <c r="AC114" i="3"/>
  <c r="N114" i="3"/>
  <c r="I45" i="3"/>
  <c r="J115" i="3"/>
  <c r="K115" i="3"/>
  <c r="S36" i="3"/>
  <c r="Q36" i="3"/>
  <c r="T36" i="3"/>
  <c r="R36" i="3"/>
  <c r="U36" i="3"/>
  <c r="L36" i="3"/>
  <c r="X84" i="3"/>
  <c r="AC84" i="4" s="1"/>
  <c r="Z84" i="3"/>
  <c r="Y84" i="3"/>
  <c r="AD84" i="4" s="1"/>
  <c r="W84" i="3"/>
  <c r="V84" i="3"/>
  <c r="M84" i="3"/>
  <c r="U28" i="3"/>
  <c r="T28" i="3"/>
  <c r="S28" i="3"/>
  <c r="R28" i="3"/>
  <c r="Q28" i="3"/>
  <c r="L28" i="3"/>
  <c r="Y61" i="3"/>
  <c r="AD61" i="4" s="1"/>
  <c r="X61" i="3"/>
  <c r="AC61" i="4" s="1"/>
  <c r="W61" i="3"/>
  <c r="AB61" i="4" s="1"/>
  <c r="V61" i="3"/>
  <c r="V61" i="4" s="1"/>
  <c r="Z61" i="3"/>
  <c r="M61" i="3"/>
  <c r="O61" i="3" s="1"/>
  <c r="X75" i="3"/>
  <c r="AC75" i="4" s="1"/>
  <c r="W75" i="3"/>
  <c r="AB75" i="4" s="1"/>
  <c r="V75" i="3"/>
  <c r="V75" i="4" s="1"/>
  <c r="DC75" i="1" s="1"/>
  <c r="Y75" i="3"/>
  <c r="Z75" i="3"/>
  <c r="M75" i="3"/>
  <c r="AD107" i="3"/>
  <c r="AA107" i="3"/>
  <c r="AC107" i="3"/>
  <c r="AE107" i="3"/>
  <c r="AB107" i="3"/>
  <c r="N107" i="3"/>
  <c r="J112" i="3"/>
  <c r="AD87" i="3"/>
  <c r="AB87" i="3"/>
  <c r="AC87" i="3"/>
  <c r="AA87" i="3"/>
  <c r="AE87" i="3"/>
  <c r="N87" i="3"/>
  <c r="AC104" i="3"/>
  <c r="AA104" i="3"/>
  <c r="AE104" i="3"/>
  <c r="AB104" i="3"/>
  <c r="AD104" i="3"/>
  <c r="N104" i="3"/>
  <c r="T128" i="3"/>
  <c r="R128" i="3"/>
  <c r="Q128" i="3"/>
  <c r="U128" i="3"/>
  <c r="S128" i="3"/>
  <c r="L128" i="3"/>
  <c r="U152" i="3"/>
  <c r="T152" i="3"/>
  <c r="S152" i="3"/>
  <c r="R152" i="3"/>
  <c r="Q152" i="3"/>
  <c r="L152" i="3"/>
  <c r="K125" i="3"/>
  <c r="J125" i="3"/>
  <c r="J151" i="3"/>
  <c r="AD140" i="3"/>
  <c r="AC140" i="3"/>
  <c r="AB140" i="3"/>
  <c r="AA140" i="3"/>
  <c r="AE140" i="3"/>
  <c r="N140" i="3"/>
  <c r="J148" i="3"/>
  <c r="T120" i="3"/>
  <c r="R120" i="3"/>
  <c r="U120" i="3"/>
  <c r="L120" i="3"/>
  <c r="X10" i="3"/>
  <c r="X10" i="4" s="1"/>
  <c r="W10" i="3"/>
  <c r="AB10" i="4" s="1"/>
  <c r="V10" i="3"/>
  <c r="V10" i="4" s="1"/>
  <c r="Y10" i="3"/>
  <c r="Y10" i="4" s="1"/>
  <c r="Z10" i="3"/>
  <c r="M10" i="3"/>
  <c r="J17" i="3"/>
  <c r="Z82" i="3"/>
  <c r="W82" i="3"/>
  <c r="R82" i="4" s="1"/>
  <c r="X82" i="3"/>
  <c r="S82" i="4" s="1"/>
  <c r="Y82" i="3"/>
  <c r="T82" i="4" s="1"/>
  <c r="V82" i="3"/>
  <c r="AA82" i="4" s="1"/>
  <c r="M82" i="3"/>
  <c r="Z62" i="3"/>
  <c r="Y62" i="3"/>
  <c r="Y62" i="4" s="1"/>
  <c r="X62" i="3"/>
  <c r="X62" i="4" s="1"/>
  <c r="W62" i="3"/>
  <c r="V62" i="3"/>
  <c r="AA62" i="4" s="1"/>
  <c r="M62" i="3"/>
  <c r="Z146" i="3"/>
  <c r="Y146" i="3"/>
  <c r="Y146" i="4" s="1"/>
  <c r="X146" i="3"/>
  <c r="AC146" i="4" s="1"/>
  <c r="W146" i="3"/>
  <c r="AB146" i="4" s="1"/>
  <c r="V146" i="3"/>
  <c r="AA146" i="4" s="1"/>
  <c r="M146" i="3"/>
  <c r="Z33" i="3"/>
  <c r="Y33" i="3"/>
  <c r="AD33" i="4" s="1"/>
  <c r="V33" i="3"/>
  <c r="V33" i="4" s="1"/>
  <c r="X33" i="3"/>
  <c r="AC33" i="4" s="1"/>
  <c r="W33" i="3"/>
  <c r="W33" i="4" s="1"/>
  <c r="M33" i="3"/>
  <c r="J22" i="3"/>
  <c r="J113" i="3"/>
  <c r="J86" i="3"/>
  <c r="S98" i="3"/>
  <c r="U98" i="3"/>
  <c r="R98" i="3"/>
  <c r="Q98" i="3"/>
  <c r="T98" i="3"/>
  <c r="L98" i="3"/>
  <c r="AD108" i="3"/>
  <c r="AB108" i="3"/>
  <c r="AE108" i="3"/>
  <c r="AA108" i="3"/>
  <c r="AC108" i="3"/>
  <c r="N108" i="3"/>
  <c r="U23" i="3"/>
  <c r="T23" i="3"/>
  <c r="S23" i="3"/>
  <c r="R23" i="3"/>
  <c r="Q23" i="3"/>
  <c r="L23" i="3"/>
  <c r="J103" i="3"/>
  <c r="Y97" i="3"/>
  <c r="AD97" i="4" s="1"/>
  <c r="W97" i="3"/>
  <c r="AB97" i="4" s="1"/>
  <c r="Z97" i="3"/>
  <c r="X97" i="3"/>
  <c r="AC97" i="4" s="1"/>
  <c r="V97" i="3"/>
  <c r="AA97" i="4" s="1"/>
  <c r="M97" i="3"/>
  <c r="AB79" i="3"/>
  <c r="AC79" i="3"/>
  <c r="AA79" i="3"/>
  <c r="AE79" i="3"/>
  <c r="AD79" i="3"/>
  <c r="N79" i="3"/>
  <c r="J24" i="3"/>
  <c r="U144" i="3"/>
  <c r="Y116" i="3"/>
  <c r="Y116" i="4" s="1"/>
  <c r="V116" i="3"/>
  <c r="AA116" i="4" s="1"/>
  <c r="X116" i="3"/>
  <c r="X116" i="4" s="1"/>
  <c r="CU116" i="1" s="1"/>
  <c r="Z116" i="3"/>
  <c r="W116" i="3"/>
  <c r="W116" i="4" s="1"/>
  <c r="M116" i="3"/>
  <c r="S114" i="3"/>
  <c r="R114" i="3"/>
  <c r="T114" i="3"/>
  <c r="Q114" i="3"/>
  <c r="U114" i="3"/>
  <c r="L114" i="3"/>
  <c r="J77" i="3"/>
  <c r="K77" i="3"/>
  <c r="W158" i="3"/>
  <c r="W158" i="4" s="1"/>
  <c r="V158" i="3"/>
  <c r="V158" i="4" s="1"/>
  <c r="Z158" i="3"/>
  <c r="Y158" i="3"/>
  <c r="T158" i="4" s="1"/>
  <c r="X158" i="3"/>
  <c r="S158" i="4" s="1"/>
  <c r="M158" i="3"/>
  <c r="X114" i="3"/>
  <c r="AC114" i="4" s="1"/>
  <c r="V114" i="3"/>
  <c r="Y114" i="3"/>
  <c r="AD114" i="4" s="1"/>
  <c r="W114" i="3"/>
  <c r="AB114" i="4" s="1"/>
  <c r="Z114" i="3"/>
  <c r="M114" i="3"/>
  <c r="Z111" i="3"/>
  <c r="W111" i="3"/>
  <c r="AB111" i="4" s="1"/>
  <c r="Y111" i="3"/>
  <c r="Y111" i="4" s="1"/>
  <c r="V111" i="3"/>
  <c r="V111" i="4" s="1"/>
  <c r="X111" i="3"/>
  <c r="AC111" i="4" s="1"/>
  <c r="M111" i="3"/>
  <c r="Y108" i="3"/>
  <c r="T108" i="4" s="1"/>
  <c r="V108" i="3"/>
  <c r="AA108" i="4" s="1"/>
  <c r="Z108" i="3"/>
  <c r="W108" i="3"/>
  <c r="R108" i="4" s="1"/>
  <c r="X108" i="3"/>
  <c r="S108" i="4" s="1"/>
  <c r="M108" i="3"/>
  <c r="AC73" i="3"/>
  <c r="AB73" i="3"/>
  <c r="AA73" i="3"/>
  <c r="AD73" i="3"/>
  <c r="AE73" i="3"/>
  <c r="N73" i="3"/>
  <c r="AB30" i="3"/>
  <c r="AA30" i="3"/>
  <c r="AC30" i="3"/>
  <c r="AE30" i="3"/>
  <c r="AD30" i="3"/>
  <c r="N30" i="3"/>
  <c r="AB71" i="3"/>
  <c r="AE71" i="3"/>
  <c r="AD71" i="3"/>
  <c r="AC71" i="3"/>
  <c r="AA71" i="3"/>
  <c r="N71" i="3"/>
  <c r="U112" i="3"/>
  <c r="R112" i="3"/>
  <c r="S112" i="3"/>
  <c r="Q112" i="3"/>
  <c r="T112" i="3"/>
  <c r="L112" i="3"/>
  <c r="Y43" i="3"/>
  <c r="AD43" i="4" s="1"/>
  <c r="X43" i="3"/>
  <c r="X43" i="4" s="1"/>
  <c r="V43" i="3"/>
  <c r="AA43" i="4" s="1"/>
  <c r="Z43" i="3"/>
  <c r="W43" i="3"/>
  <c r="R43" i="4" s="1"/>
  <c r="M43" i="3"/>
  <c r="X50" i="3"/>
  <c r="AC50" i="4" s="1"/>
  <c r="W50" i="3"/>
  <c r="AB50" i="4" s="1"/>
  <c r="V50" i="3"/>
  <c r="Y50" i="3"/>
  <c r="AD50" i="4" s="1"/>
  <c r="Z50" i="3"/>
  <c r="M50" i="3"/>
  <c r="Z130" i="3"/>
  <c r="X130" i="3"/>
  <c r="AC130" i="4" s="1"/>
  <c r="W130" i="3"/>
  <c r="AB130" i="4" s="1"/>
  <c r="Y130" i="3"/>
  <c r="Y130" i="4" s="1"/>
  <c r="V130" i="3"/>
  <c r="AA130" i="4" s="1"/>
  <c r="M130" i="3"/>
  <c r="AE37" i="3"/>
  <c r="AD37" i="3"/>
  <c r="AB37" i="3"/>
  <c r="AC37" i="3"/>
  <c r="AA37" i="3"/>
  <c r="N37" i="3"/>
  <c r="W55" i="3"/>
  <c r="W55" i="4" s="1"/>
  <c r="V55" i="3"/>
  <c r="V55" i="4" s="1"/>
  <c r="Z55" i="3"/>
  <c r="X55" i="3"/>
  <c r="X55" i="4" s="1"/>
  <c r="Y55" i="3"/>
  <c r="Y55" i="4" s="1"/>
  <c r="M55" i="3"/>
  <c r="I35" i="3"/>
  <c r="AE50" i="3"/>
  <c r="AD50" i="3"/>
  <c r="AC50" i="3"/>
  <c r="AB50" i="3"/>
  <c r="AA50" i="3"/>
  <c r="N50" i="3"/>
  <c r="U150" i="3"/>
  <c r="T150" i="3"/>
  <c r="S150" i="3"/>
  <c r="R150" i="3"/>
  <c r="Q150" i="3"/>
  <c r="L150" i="3"/>
  <c r="AB54" i="3"/>
  <c r="AA54" i="3"/>
  <c r="AE54" i="3"/>
  <c r="AC54" i="3"/>
  <c r="AD54" i="3"/>
  <c r="N54" i="3"/>
  <c r="AC47" i="3"/>
  <c r="X137" i="3"/>
  <c r="Z137" i="3"/>
  <c r="Y137" i="3"/>
  <c r="Y137" i="4" s="1"/>
  <c r="V137" i="3"/>
  <c r="W137" i="3"/>
  <c r="W137" i="4" s="1"/>
  <c r="M137" i="3"/>
  <c r="O137" i="3" s="1"/>
  <c r="AE122" i="3"/>
  <c r="AC122" i="3"/>
  <c r="AA122" i="3"/>
  <c r="AB122" i="3"/>
  <c r="AD122" i="3"/>
  <c r="N122" i="3"/>
  <c r="I77" i="3"/>
  <c r="T88" i="3"/>
  <c r="Q88" i="3"/>
  <c r="S88" i="3"/>
  <c r="U88" i="3"/>
  <c r="R88" i="3"/>
  <c r="L88" i="3"/>
  <c r="R71" i="3"/>
  <c r="U71" i="3"/>
  <c r="T71" i="3"/>
  <c r="S71" i="3"/>
  <c r="Q71" i="3"/>
  <c r="L71" i="3"/>
  <c r="Z135" i="3"/>
  <c r="X135" i="3"/>
  <c r="AC135" i="4" s="1"/>
  <c r="W135" i="3"/>
  <c r="AB135" i="4" s="1"/>
  <c r="Y135" i="3"/>
  <c r="AD135" i="4" s="1"/>
  <c r="V135" i="3"/>
  <c r="AA135" i="4" s="1"/>
  <c r="Z143" i="3"/>
  <c r="Y143" i="3"/>
  <c r="AD143" i="4" s="1"/>
  <c r="X143" i="3"/>
  <c r="AC143" i="4" s="1"/>
  <c r="W143" i="3"/>
  <c r="AB143" i="4" s="1"/>
  <c r="V143" i="3"/>
  <c r="AA143" i="4" s="1"/>
  <c r="M143" i="3"/>
  <c r="O143" i="3" s="1"/>
  <c r="K16" i="3"/>
  <c r="AE158" i="3"/>
  <c r="AD158" i="3"/>
  <c r="AC158" i="3"/>
  <c r="AB158" i="3"/>
  <c r="AA158" i="3"/>
  <c r="N158" i="3"/>
  <c r="K42" i="3"/>
  <c r="J51" i="3"/>
  <c r="K51" i="3"/>
  <c r="I96" i="3"/>
  <c r="U147" i="3"/>
  <c r="T147" i="3"/>
  <c r="S147" i="3"/>
  <c r="R147" i="3"/>
  <c r="Q147" i="3"/>
  <c r="L147" i="3"/>
  <c r="Z128" i="3"/>
  <c r="Y128" i="3"/>
  <c r="AD128" i="4" s="1"/>
  <c r="W128" i="3"/>
  <c r="AB128" i="4" s="1"/>
  <c r="X128" i="3"/>
  <c r="S128" i="4" s="1"/>
  <c r="V128" i="3"/>
  <c r="AA128" i="4" s="1"/>
  <c r="M128" i="3"/>
  <c r="AC57" i="3"/>
  <c r="AB57" i="3"/>
  <c r="AA57" i="3"/>
  <c r="AD57" i="3"/>
  <c r="AE57" i="3"/>
  <c r="N57" i="3"/>
  <c r="AC65" i="3"/>
  <c r="AB65" i="3"/>
  <c r="AA65" i="3"/>
  <c r="AD65" i="3"/>
  <c r="AE65" i="3"/>
  <c r="N65" i="3"/>
  <c r="Z131" i="3"/>
  <c r="X131" i="3"/>
  <c r="V131" i="3"/>
  <c r="W131" i="3"/>
  <c r="Y131" i="3"/>
  <c r="Y131" i="4" s="1"/>
  <c r="CV131" i="1" s="1"/>
  <c r="M131" i="3"/>
  <c r="K99" i="3"/>
  <c r="S27" i="3"/>
  <c r="R27" i="3"/>
  <c r="Q27" i="3"/>
  <c r="T27" i="3"/>
  <c r="U27" i="3"/>
  <c r="L27" i="3"/>
  <c r="J12" i="3"/>
  <c r="AA133" i="3"/>
  <c r="AD133" i="3"/>
  <c r="AB133" i="3"/>
  <c r="AC133" i="3"/>
  <c r="AE133" i="3"/>
  <c r="N133" i="3"/>
  <c r="AE72" i="3"/>
  <c r="AD72" i="3"/>
  <c r="AC72" i="3"/>
  <c r="AB72" i="3"/>
  <c r="AA72" i="3"/>
  <c r="N72" i="3"/>
  <c r="X136" i="3"/>
  <c r="AC136" i="4" s="1"/>
  <c r="W136" i="3"/>
  <c r="AB136" i="4" s="1"/>
  <c r="Y136" i="3"/>
  <c r="AD136" i="4" s="1"/>
  <c r="Z136" i="3"/>
  <c r="V136" i="3"/>
  <c r="AA136" i="4" s="1"/>
  <c r="M136" i="3"/>
  <c r="AE81" i="3"/>
  <c r="AB81" i="3"/>
  <c r="AD81" i="3"/>
  <c r="AA81" i="3"/>
  <c r="AC81" i="3"/>
  <c r="N81" i="3"/>
  <c r="AB22" i="3"/>
  <c r="AA22" i="3"/>
  <c r="AC22" i="3"/>
  <c r="N22" i="3"/>
  <c r="AE22" i="3"/>
  <c r="AD22" i="3"/>
  <c r="W142" i="3"/>
  <c r="AB142" i="4" s="1"/>
  <c r="Z142" i="3"/>
  <c r="Y142" i="3"/>
  <c r="AD142" i="4" s="1"/>
  <c r="V142" i="3"/>
  <c r="AA142" i="4" s="1"/>
  <c r="X142" i="3"/>
  <c r="AC142" i="4" s="1"/>
  <c r="M142" i="3"/>
  <c r="K67" i="3"/>
  <c r="AB120" i="3"/>
  <c r="AC120" i="3"/>
  <c r="AA120" i="3"/>
  <c r="AD120" i="3"/>
  <c r="AE120" i="3"/>
  <c r="N120" i="3"/>
  <c r="K119" i="3"/>
  <c r="Q53" i="3"/>
  <c r="U53" i="3"/>
  <c r="T53" i="3"/>
  <c r="R53" i="3"/>
  <c r="S53" i="3"/>
  <c r="L53" i="3"/>
  <c r="I38" i="3"/>
  <c r="Y127" i="3"/>
  <c r="Y127" i="4" s="1"/>
  <c r="W127" i="3"/>
  <c r="R127" i="4" s="1"/>
  <c r="V127" i="3"/>
  <c r="V127" i="4" s="1"/>
  <c r="Z127" i="3"/>
  <c r="X127" i="3"/>
  <c r="AC127" i="4" s="1"/>
  <c r="M127" i="3"/>
  <c r="W121" i="3"/>
  <c r="W121" i="4" s="1"/>
  <c r="Z121" i="3"/>
  <c r="X121" i="3"/>
  <c r="AC121" i="4" s="1"/>
  <c r="Y121" i="3"/>
  <c r="AD121" i="4" s="1"/>
  <c r="V121" i="3"/>
  <c r="AA121" i="4" s="1"/>
  <c r="M121" i="3"/>
  <c r="O43" i="3"/>
  <c r="X145" i="3"/>
  <c r="AC145" i="4" s="1"/>
  <c r="W145" i="3"/>
  <c r="V145" i="3"/>
  <c r="AA145" i="4" s="1"/>
  <c r="Z145" i="3"/>
  <c r="Y145" i="3"/>
  <c r="AD145" i="4" s="1"/>
  <c r="M145" i="3"/>
  <c r="U63" i="3"/>
  <c r="T63" i="3"/>
  <c r="S63" i="3"/>
  <c r="R63" i="3"/>
  <c r="Q63" i="3"/>
  <c r="L63" i="3"/>
  <c r="AD60" i="3"/>
  <c r="AC60" i="3"/>
  <c r="AB60" i="3"/>
  <c r="AA60" i="3"/>
  <c r="AE60" i="3"/>
  <c r="N60" i="3"/>
  <c r="W81" i="3"/>
  <c r="AB81" i="4" s="1"/>
  <c r="Z81" i="3"/>
  <c r="X81" i="3"/>
  <c r="AC81" i="4" s="1"/>
  <c r="V81" i="3"/>
  <c r="AA81" i="4" s="1"/>
  <c r="Y81" i="3"/>
  <c r="AD81" i="4" s="1"/>
  <c r="M81" i="3"/>
  <c r="J155" i="3"/>
  <c r="Z157" i="3"/>
  <c r="Y157" i="3"/>
  <c r="AD157" i="4" s="1"/>
  <c r="X157" i="3"/>
  <c r="AC157" i="4" s="1"/>
  <c r="W157" i="3"/>
  <c r="V157" i="3"/>
  <c r="AA157" i="4" s="1"/>
  <c r="M157" i="3"/>
  <c r="AE39" i="3"/>
  <c r="AC39" i="3"/>
  <c r="AB39" i="3"/>
  <c r="AD39" i="3"/>
  <c r="AA39" i="3"/>
  <c r="N39" i="3"/>
  <c r="Q127" i="3"/>
  <c r="T127" i="3"/>
  <c r="R127" i="3"/>
  <c r="U127" i="3"/>
  <c r="S127" i="3"/>
  <c r="L127" i="3"/>
  <c r="CW114" i="1"/>
  <c r="U17" i="3"/>
  <c r="T17" i="3"/>
  <c r="S17" i="3"/>
  <c r="R17" i="3"/>
  <c r="Q17" i="3"/>
  <c r="L17" i="3"/>
  <c r="K45" i="3"/>
  <c r="AB70" i="3"/>
  <c r="AA70" i="3"/>
  <c r="AE70" i="3"/>
  <c r="AC70" i="3"/>
  <c r="AD70" i="3"/>
  <c r="N70" i="3"/>
  <c r="AD126" i="3"/>
  <c r="AB126" i="3"/>
  <c r="AA126" i="3"/>
  <c r="AE126" i="3"/>
  <c r="AC126" i="3"/>
  <c r="N126" i="3"/>
  <c r="AA98" i="3"/>
  <c r="AD98" i="3"/>
  <c r="AC98" i="3"/>
  <c r="AB98" i="3"/>
  <c r="AE98" i="3"/>
  <c r="N98" i="3"/>
  <c r="K155" i="3"/>
  <c r="Q119" i="3"/>
  <c r="R119" i="3"/>
  <c r="T119" i="3"/>
  <c r="U119" i="3"/>
  <c r="S119" i="3"/>
  <c r="L119" i="3"/>
  <c r="Y88" i="3"/>
  <c r="T88" i="4" s="1"/>
  <c r="W88" i="3"/>
  <c r="W88" i="4" s="1"/>
  <c r="Z88" i="3"/>
  <c r="X88" i="3"/>
  <c r="X88" i="4" s="1"/>
  <c r="V88" i="3"/>
  <c r="V88" i="4" s="1"/>
  <c r="M88" i="3"/>
  <c r="J119" i="3"/>
  <c r="AE69" i="3"/>
  <c r="AD69" i="3"/>
  <c r="AC69" i="3"/>
  <c r="AB69" i="3"/>
  <c r="AA69" i="3"/>
  <c r="N69" i="3"/>
  <c r="K134" i="3"/>
  <c r="I55" i="3"/>
  <c r="V20" i="3"/>
  <c r="AA20" i="4" s="1"/>
  <c r="Z20" i="3"/>
  <c r="W20" i="3"/>
  <c r="R20" i="4" s="1"/>
  <c r="Y20" i="3"/>
  <c r="T20" i="4" s="1"/>
  <c r="X20" i="3"/>
  <c r="S20" i="4" s="1"/>
  <c r="M20" i="3"/>
  <c r="J40" i="3"/>
  <c r="Y21" i="3"/>
  <c r="Y21" i="4" s="1"/>
  <c r="X21" i="3"/>
  <c r="X21" i="4" s="1"/>
  <c r="W21" i="3"/>
  <c r="W21" i="4" s="1"/>
  <c r="V21" i="3"/>
  <c r="V21" i="4" s="1"/>
  <c r="Z21" i="3"/>
  <c r="M21" i="3"/>
  <c r="AA146" i="3"/>
  <c r="AE146" i="3"/>
  <c r="AD146" i="3"/>
  <c r="AC146" i="3"/>
  <c r="AB146" i="3"/>
  <c r="N146" i="3"/>
  <c r="AE24" i="3"/>
  <c r="AD24" i="3"/>
  <c r="AA24" i="3"/>
  <c r="AC24" i="3"/>
  <c r="AB24" i="3"/>
  <c r="N24" i="3"/>
  <c r="K55" i="3"/>
  <c r="Y13" i="3"/>
  <c r="AD13" i="4" s="1"/>
  <c r="X13" i="3"/>
  <c r="X13" i="4" s="1"/>
  <c r="W13" i="3"/>
  <c r="AB13" i="4" s="1"/>
  <c r="V13" i="3"/>
  <c r="V13" i="4" s="1"/>
  <c r="Z13" i="3"/>
  <c r="M13" i="3"/>
  <c r="V68" i="3"/>
  <c r="V68" i="4" s="1"/>
  <c r="Z68" i="3"/>
  <c r="Y68" i="3"/>
  <c r="Y68" i="4" s="1"/>
  <c r="W68" i="3"/>
  <c r="W68" i="4" s="1"/>
  <c r="X68" i="3"/>
  <c r="X68" i="4" s="1"/>
  <c r="M68" i="3"/>
  <c r="W31" i="3"/>
  <c r="R31" i="4" s="1"/>
  <c r="V31" i="3"/>
  <c r="V31" i="4" s="1"/>
  <c r="X31" i="3"/>
  <c r="S31" i="4" s="1"/>
  <c r="Z31" i="3"/>
  <c r="Y31" i="3"/>
  <c r="T31" i="4" s="1"/>
  <c r="M31" i="3"/>
  <c r="AB88" i="3"/>
  <c r="AE88" i="3"/>
  <c r="AC88" i="3"/>
  <c r="AD88" i="3"/>
  <c r="AA88" i="3"/>
  <c r="N88" i="3"/>
  <c r="Q21" i="3"/>
  <c r="U21" i="3"/>
  <c r="R21" i="3"/>
  <c r="T21" i="3"/>
  <c r="S21" i="3"/>
  <c r="L21" i="3"/>
  <c r="AA85" i="3"/>
  <c r="AD85" i="3"/>
  <c r="AC85" i="3"/>
  <c r="AB85" i="3"/>
  <c r="AE85" i="3"/>
  <c r="N85" i="3"/>
  <c r="AD52" i="3"/>
  <c r="AC52" i="3"/>
  <c r="AB52" i="3"/>
  <c r="AA52" i="3"/>
  <c r="AE52" i="3"/>
  <c r="N52" i="3"/>
  <c r="V52" i="3"/>
  <c r="Z52" i="3"/>
  <c r="Y52" i="3"/>
  <c r="W52" i="3"/>
  <c r="X52" i="3"/>
  <c r="M52" i="3"/>
  <c r="Q13" i="3"/>
  <c r="U13" i="3"/>
  <c r="L13" i="3"/>
  <c r="R13" i="3"/>
  <c r="T13" i="3"/>
  <c r="S13" i="3"/>
  <c r="AA137" i="3"/>
  <c r="AD137" i="3"/>
  <c r="AC137" i="3"/>
  <c r="AE137" i="3"/>
  <c r="AB137" i="3"/>
  <c r="N137" i="3"/>
  <c r="I51" i="3"/>
  <c r="J93" i="3"/>
  <c r="AD20" i="3"/>
  <c r="AC20" i="3"/>
  <c r="AB20" i="3"/>
  <c r="AA20" i="3"/>
  <c r="AE20" i="3"/>
  <c r="N20" i="3"/>
  <c r="AA106" i="3"/>
  <c r="AD106" i="3"/>
  <c r="AC106" i="3"/>
  <c r="AE106" i="3"/>
  <c r="AB106" i="3"/>
  <c r="N106" i="3"/>
  <c r="O106" i="3" s="1"/>
  <c r="DG106" i="1"/>
  <c r="Z30" i="3"/>
  <c r="Y30" i="3"/>
  <c r="Y30" i="4" s="1"/>
  <c r="X30" i="3"/>
  <c r="X30" i="4" s="1"/>
  <c r="W30" i="3"/>
  <c r="W30" i="4" s="1"/>
  <c r="V30" i="3"/>
  <c r="V30" i="4" s="1"/>
  <c r="M30" i="3"/>
  <c r="K63" i="3"/>
  <c r="AC131" i="3"/>
  <c r="AA131" i="3"/>
  <c r="AD131" i="3"/>
  <c r="AE131" i="3"/>
  <c r="AB131" i="3"/>
  <c r="N131" i="3"/>
  <c r="O131" i="3" s="1"/>
  <c r="Z9" i="3"/>
  <c r="Y9" i="3"/>
  <c r="V9" i="3"/>
  <c r="X9" i="3"/>
  <c r="W9" i="3"/>
  <c r="M9" i="3"/>
  <c r="J38" i="3"/>
  <c r="J18" i="3"/>
  <c r="T54" i="3"/>
  <c r="S54" i="3"/>
  <c r="R54" i="3"/>
  <c r="Q54" i="3"/>
  <c r="U54" i="3"/>
  <c r="L54" i="3"/>
  <c r="O54" i="3" s="1"/>
  <c r="K68" i="3"/>
  <c r="I81" i="3"/>
  <c r="I22" i="3"/>
  <c r="AE75" i="3"/>
  <c r="AD75" i="3"/>
  <c r="AC75" i="3"/>
  <c r="AB75" i="3"/>
  <c r="AA75" i="3"/>
  <c r="N75" i="3"/>
  <c r="U34" i="3"/>
  <c r="T34" i="3"/>
  <c r="Q34" i="3"/>
  <c r="S34" i="3"/>
  <c r="R34" i="3"/>
  <c r="L34" i="3"/>
  <c r="J53" i="3"/>
  <c r="K53" i="3"/>
  <c r="W110" i="3"/>
  <c r="Z110" i="3"/>
  <c r="Y110" i="3"/>
  <c r="X110" i="3"/>
  <c r="V110" i="3"/>
  <c r="M110" i="3"/>
  <c r="Z144" i="3"/>
  <c r="Y144" i="3"/>
  <c r="AD144" i="4" s="1"/>
  <c r="X144" i="3"/>
  <c r="AC144" i="4" s="1"/>
  <c r="W144" i="3"/>
  <c r="V144" i="3"/>
  <c r="AA144" i="4" s="1"/>
  <c r="M144" i="3"/>
  <c r="J89" i="3"/>
  <c r="U121" i="3"/>
  <c r="T121" i="3"/>
  <c r="R121" i="3"/>
  <c r="Q121" i="3"/>
  <c r="S121" i="3"/>
  <c r="L121" i="3"/>
  <c r="X66" i="3"/>
  <c r="X66" i="4" s="1"/>
  <c r="W66" i="3"/>
  <c r="AB66" i="4" s="1"/>
  <c r="V66" i="3"/>
  <c r="V66" i="4" s="1"/>
  <c r="Y66" i="3"/>
  <c r="AD66" i="4" s="1"/>
  <c r="Z66" i="3"/>
  <c r="M66" i="3"/>
  <c r="AB141" i="3"/>
  <c r="AE141" i="3"/>
  <c r="AD141" i="3"/>
  <c r="AC141" i="3"/>
  <c r="AA141" i="3"/>
  <c r="N141" i="3"/>
  <c r="W91" i="3"/>
  <c r="AB91" i="4" s="1"/>
  <c r="Z91" i="3"/>
  <c r="X91" i="3"/>
  <c r="S91" i="4" s="1"/>
  <c r="Y91" i="3"/>
  <c r="T91" i="4" s="1"/>
  <c r="V91" i="3"/>
  <c r="V91" i="4" s="1"/>
  <c r="M91" i="3"/>
  <c r="V107" i="3"/>
  <c r="AA107" i="4" s="1"/>
  <c r="Y107" i="3"/>
  <c r="AD107" i="4" s="1"/>
  <c r="Z107" i="3"/>
  <c r="W107" i="3"/>
  <c r="AB107" i="4" s="1"/>
  <c r="X107" i="3"/>
  <c r="AC107" i="4" s="1"/>
  <c r="M107" i="3"/>
  <c r="U155" i="3"/>
  <c r="T155" i="3"/>
  <c r="S155" i="3"/>
  <c r="R155" i="3"/>
  <c r="Q155" i="3"/>
  <c r="L155" i="3"/>
  <c r="AE102" i="3"/>
  <c r="AD102" i="3"/>
  <c r="AC102" i="3"/>
  <c r="AA102" i="3"/>
  <c r="AB102" i="3"/>
  <c r="N102" i="3"/>
  <c r="K100" i="3"/>
  <c r="J100" i="3"/>
  <c r="AA27" i="3"/>
  <c r="AE27" i="3"/>
  <c r="AB27" i="3"/>
  <c r="AD27" i="3"/>
  <c r="AC27" i="3"/>
  <c r="N27" i="3"/>
  <c r="DG60" i="1"/>
  <c r="U129" i="3"/>
  <c r="T129" i="3"/>
  <c r="R129" i="3"/>
  <c r="Q129" i="3"/>
  <c r="S129" i="3"/>
  <c r="L129" i="3"/>
  <c r="AD118" i="3"/>
  <c r="AB118" i="3"/>
  <c r="AA118" i="3"/>
  <c r="AE118" i="3"/>
  <c r="AC118" i="3"/>
  <c r="N118" i="3"/>
  <c r="AE121" i="3"/>
  <c r="AC121" i="3"/>
  <c r="AB121" i="3"/>
  <c r="AD121" i="3"/>
  <c r="AA121" i="3"/>
  <c r="N121" i="3"/>
  <c r="AE110" i="3"/>
  <c r="AB110" i="3"/>
  <c r="AC110" i="3"/>
  <c r="AD110" i="3"/>
  <c r="AA110" i="3"/>
  <c r="N110" i="3"/>
  <c r="I156" i="3"/>
  <c r="R139" i="3"/>
  <c r="Q139" i="3"/>
  <c r="U139" i="3"/>
  <c r="S139" i="3"/>
  <c r="T139" i="3"/>
  <c r="L139" i="3"/>
  <c r="AD28" i="3"/>
  <c r="AE61" i="3"/>
  <c r="AD61" i="3"/>
  <c r="AC61" i="3"/>
  <c r="AB61" i="3"/>
  <c r="AA61" i="3"/>
  <c r="N61" i="3"/>
  <c r="J48" i="3"/>
  <c r="K48" i="3"/>
  <c r="AB128" i="3"/>
  <c r="AE128" i="3"/>
  <c r="AC128" i="3"/>
  <c r="AA128" i="3"/>
  <c r="AD128" i="3"/>
  <c r="N128" i="3"/>
  <c r="I134" i="3"/>
  <c r="K56" i="3"/>
  <c r="J139" i="3"/>
  <c r="Z67" i="3"/>
  <c r="Y67" i="3"/>
  <c r="T67" i="4" s="1"/>
  <c r="X67" i="3"/>
  <c r="X67" i="4" s="1"/>
  <c r="W67" i="3"/>
  <c r="W67" i="4" s="1"/>
  <c r="V67" i="3"/>
  <c r="V67" i="4" s="1"/>
  <c r="M67" i="3"/>
  <c r="I44" i="3"/>
  <c r="AC105" i="3"/>
  <c r="AA105" i="3"/>
  <c r="AD105" i="3"/>
  <c r="AB105" i="3"/>
  <c r="AE105" i="3"/>
  <c r="N105" i="3"/>
  <c r="K129" i="3"/>
  <c r="V60" i="3"/>
  <c r="V60" i="4" s="1"/>
  <c r="Z60" i="3"/>
  <c r="Y60" i="3"/>
  <c r="AD60" i="4" s="1"/>
  <c r="W60" i="3"/>
  <c r="R60" i="4" s="1"/>
  <c r="X60" i="3"/>
  <c r="S60" i="4" s="1"/>
  <c r="M60" i="3"/>
  <c r="I68" i="3"/>
  <c r="AE127" i="3"/>
  <c r="AD127" i="3"/>
  <c r="AB127" i="3"/>
  <c r="AA127" i="3"/>
  <c r="AC127" i="3"/>
  <c r="N127" i="3"/>
  <c r="J36" i="3"/>
  <c r="AC152" i="3"/>
  <c r="AB152" i="3"/>
  <c r="AA152" i="3"/>
  <c r="AE152" i="3"/>
  <c r="AD152" i="3"/>
  <c r="N152" i="3"/>
  <c r="O49" i="3"/>
  <c r="I52" i="3"/>
  <c r="AE13" i="3"/>
  <c r="AD13" i="3"/>
  <c r="AC13" i="3"/>
  <c r="AB13" i="3"/>
  <c r="AA13" i="3"/>
  <c r="N13" i="3"/>
  <c r="W80" i="3"/>
  <c r="W80" i="4" s="1"/>
  <c r="Z80" i="3"/>
  <c r="X80" i="3"/>
  <c r="Y80" i="3"/>
  <c r="Y80" i="4" s="1"/>
  <c r="V80" i="3"/>
  <c r="V80" i="4" s="1"/>
  <c r="M80" i="3"/>
  <c r="K14" i="3"/>
  <c r="I69" i="3"/>
  <c r="AB62" i="3"/>
  <c r="AA62" i="3"/>
  <c r="AE62" i="3"/>
  <c r="AC62" i="3"/>
  <c r="AD62" i="3"/>
  <c r="N62" i="3"/>
  <c r="Z65" i="3"/>
  <c r="Y65" i="3"/>
  <c r="AD65" i="4" s="1"/>
  <c r="X65" i="3"/>
  <c r="S65" i="4" s="1"/>
  <c r="V65" i="3"/>
  <c r="V65" i="4" s="1"/>
  <c r="W65" i="3"/>
  <c r="AB65" i="4" s="1"/>
  <c r="M65" i="3"/>
  <c r="I30" i="3"/>
  <c r="K147" i="3"/>
  <c r="W23" i="3"/>
  <c r="R23" i="4" s="1"/>
  <c r="V23" i="3"/>
  <c r="V23" i="4" s="1"/>
  <c r="X23" i="3"/>
  <c r="X23" i="4" s="1"/>
  <c r="Z23" i="3"/>
  <c r="Y23" i="3"/>
  <c r="T23" i="4" s="1"/>
  <c r="M23" i="3"/>
  <c r="AB149" i="3"/>
  <c r="AA149" i="3"/>
  <c r="AE149" i="3"/>
  <c r="AD149" i="3"/>
  <c r="AC149" i="3"/>
  <c r="N149" i="3"/>
  <c r="J153" i="3"/>
  <c r="I78" i="3"/>
  <c r="Z70" i="3"/>
  <c r="Y70" i="3"/>
  <c r="Y70" i="4" s="1"/>
  <c r="X70" i="3"/>
  <c r="X70" i="4" s="1"/>
  <c r="W70" i="3"/>
  <c r="W70" i="4" s="1"/>
  <c r="CT70" i="1" s="1"/>
  <c r="V70" i="3"/>
  <c r="V70" i="4" s="1"/>
  <c r="M70" i="3"/>
  <c r="J149" i="3"/>
  <c r="Z25" i="3"/>
  <c r="Y25" i="3"/>
  <c r="V25" i="3"/>
  <c r="X25" i="3"/>
  <c r="W25" i="3"/>
  <c r="W25" i="4" s="1"/>
  <c r="M25" i="3"/>
  <c r="AD94" i="3"/>
  <c r="AB94" i="3"/>
  <c r="AA94" i="3"/>
  <c r="AC94" i="3"/>
  <c r="AE94" i="3"/>
  <c r="N94" i="3"/>
  <c r="I75" i="3"/>
  <c r="J64" i="3"/>
  <c r="I97" i="3"/>
  <c r="I94" i="3"/>
  <c r="T110" i="3"/>
  <c r="R110" i="3"/>
  <c r="S110" i="3"/>
  <c r="U110" i="3"/>
  <c r="Q110" i="3"/>
  <c r="L110" i="3"/>
  <c r="I10" i="3"/>
  <c r="AE91" i="3"/>
  <c r="AC91" i="3"/>
  <c r="AA91" i="3"/>
  <c r="AD91" i="3"/>
  <c r="AB91" i="3"/>
  <c r="N91" i="3"/>
  <c r="AE58" i="3"/>
  <c r="AD58" i="3"/>
  <c r="AC58" i="3"/>
  <c r="AB58" i="3"/>
  <c r="AA58" i="3"/>
  <c r="N58" i="3"/>
  <c r="X105" i="3"/>
  <c r="AC105" i="4" s="1"/>
  <c r="W105" i="3"/>
  <c r="AB105" i="4" s="1"/>
  <c r="Y105" i="3"/>
  <c r="Y105" i="4" s="1"/>
  <c r="Z105" i="3"/>
  <c r="V105" i="3"/>
  <c r="AA105" i="4" s="1"/>
  <c r="M105" i="3"/>
  <c r="Z59" i="3"/>
  <c r="Y59" i="3"/>
  <c r="T59" i="4" s="1"/>
  <c r="X59" i="3"/>
  <c r="S59" i="4" s="1"/>
  <c r="W59" i="3"/>
  <c r="R59" i="4" s="1"/>
  <c r="V59" i="3"/>
  <c r="AA59" i="4" s="1"/>
  <c r="M59" i="3"/>
  <c r="X124" i="3"/>
  <c r="AC124" i="4" s="1"/>
  <c r="V124" i="3"/>
  <c r="AA124" i="4" s="1"/>
  <c r="Y124" i="3"/>
  <c r="W124" i="3"/>
  <c r="AB124" i="4" s="1"/>
  <c r="Z124" i="3"/>
  <c r="M124" i="3"/>
  <c r="I83" i="3"/>
  <c r="J83" i="3"/>
  <c r="AA19" i="3"/>
  <c r="AE19" i="3"/>
  <c r="AB19" i="3"/>
  <c r="AD19" i="3"/>
  <c r="AC19" i="3"/>
  <c r="N19" i="3"/>
  <c r="AB38" i="3"/>
  <c r="AE38" i="3"/>
  <c r="AC38" i="3"/>
  <c r="AA38" i="3"/>
  <c r="AD38" i="3"/>
  <c r="N38" i="3"/>
  <c r="DB145" i="1"/>
  <c r="CW127" i="1"/>
  <c r="AC41" i="3"/>
  <c r="AA41" i="3"/>
  <c r="AD41" i="3"/>
  <c r="AE41" i="3"/>
  <c r="AB41" i="3"/>
  <c r="N41" i="3"/>
  <c r="AE40" i="3"/>
  <c r="AC40" i="3"/>
  <c r="AA40" i="3"/>
  <c r="AD40" i="3"/>
  <c r="AB40" i="3"/>
  <c r="N40" i="3"/>
  <c r="I86" i="3"/>
  <c r="Z56" i="3"/>
  <c r="Y56" i="3"/>
  <c r="Y56" i="4" s="1"/>
  <c r="X56" i="3"/>
  <c r="W56" i="3"/>
  <c r="W56" i="4" s="1"/>
  <c r="V56" i="3"/>
  <c r="V56" i="4" s="1"/>
  <c r="M56" i="3"/>
  <c r="R64" i="3"/>
  <c r="Q64" i="3"/>
  <c r="U64" i="3"/>
  <c r="S64" i="3"/>
  <c r="T64" i="3"/>
  <c r="L64" i="3"/>
  <c r="AE156" i="3"/>
  <c r="AD156" i="3"/>
  <c r="AC156" i="3"/>
  <c r="AB156" i="3"/>
  <c r="AA156" i="3"/>
  <c r="N156" i="3"/>
  <c r="I18" i="3"/>
  <c r="Y140" i="3"/>
  <c r="Y140" i="4" s="1"/>
  <c r="X140" i="3"/>
  <c r="X140" i="4" s="1"/>
  <c r="V140" i="3"/>
  <c r="AA140" i="4" s="1"/>
  <c r="Z140" i="3"/>
  <c r="W140" i="3"/>
  <c r="W140" i="4" s="1"/>
  <c r="M140" i="3"/>
  <c r="J99" i="3"/>
  <c r="AD132" i="3"/>
  <c r="AC132" i="3"/>
  <c r="AA132" i="3"/>
  <c r="AE132" i="3"/>
  <c r="AB132" i="3"/>
  <c r="N132" i="3"/>
  <c r="O132" i="3" s="1"/>
  <c r="K150" i="3"/>
  <c r="R48" i="3"/>
  <c r="Q48" i="3"/>
  <c r="U48" i="3"/>
  <c r="S48" i="3"/>
  <c r="T48" i="3"/>
  <c r="L48" i="3"/>
  <c r="Z14" i="3"/>
  <c r="Y14" i="3"/>
  <c r="Y14" i="4" s="1"/>
  <c r="X14" i="3"/>
  <c r="X14" i="4" s="1"/>
  <c r="W14" i="3"/>
  <c r="W14" i="4" s="1"/>
  <c r="V14" i="3"/>
  <c r="V14" i="4" s="1"/>
  <c r="M14" i="3"/>
  <c r="W47" i="3"/>
  <c r="V47" i="3"/>
  <c r="Z47" i="3"/>
  <c r="X47" i="3"/>
  <c r="Y47" i="3"/>
  <c r="M47" i="3"/>
  <c r="V134" i="3"/>
  <c r="V134" i="4" s="1"/>
  <c r="Y134" i="3"/>
  <c r="W134" i="3"/>
  <c r="W134" i="4" s="1"/>
  <c r="X134" i="3"/>
  <c r="X134" i="4" s="1"/>
  <c r="Z134" i="3"/>
  <c r="M134" i="3"/>
  <c r="AE103" i="3"/>
  <c r="AC103" i="3"/>
  <c r="AD103" i="3"/>
  <c r="AA103" i="3"/>
  <c r="AB103" i="3"/>
  <c r="N103" i="3"/>
  <c r="AD78" i="3"/>
  <c r="AB78" i="3"/>
  <c r="AE78" i="3"/>
  <c r="AC78" i="3"/>
  <c r="AA78" i="3"/>
  <c r="N78" i="3"/>
  <c r="S67" i="3"/>
  <c r="R67" i="3"/>
  <c r="Q67" i="3"/>
  <c r="T67" i="3"/>
  <c r="U67" i="3"/>
  <c r="L67" i="3"/>
  <c r="AD44" i="3"/>
  <c r="AB44" i="3"/>
  <c r="AA44" i="3"/>
  <c r="AE44" i="3"/>
  <c r="AC44" i="3"/>
  <c r="N44" i="3"/>
  <c r="W102" i="3"/>
  <c r="W102" i="4" s="1"/>
  <c r="Z102" i="3"/>
  <c r="Y102" i="3"/>
  <c r="T102" i="4" s="1"/>
  <c r="V102" i="3"/>
  <c r="AA102" i="4" s="1"/>
  <c r="X102" i="3"/>
  <c r="S102" i="4" s="1"/>
  <c r="M102" i="3"/>
  <c r="U60" i="3"/>
  <c r="T60" i="3"/>
  <c r="S60" i="3"/>
  <c r="R60" i="3"/>
  <c r="Q60" i="3"/>
  <c r="L60" i="3"/>
  <c r="I148" i="3"/>
  <c r="I95" i="3"/>
  <c r="Z90" i="3"/>
  <c r="W90" i="3"/>
  <c r="W90" i="4" s="1"/>
  <c r="X90" i="3"/>
  <c r="X90" i="4" s="1"/>
  <c r="V90" i="3"/>
  <c r="V90" i="4" s="1"/>
  <c r="Y90" i="3"/>
  <c r="T90" i="4" s="1"/>
  <c r="M90" i="3"/>
  <c r="Z57" i="3"/>
  <c r="Y57" i="3"/>
  <c r="X57" i="3"/>
  <c r="X57" i="4" s="1"/>
  <c r="V57" i="3"/>
  <c r="V57" i="4" s="1"/>
  <c r="W57" i="3"/>
  <c r="W57" i="4" s="1"/>
  <c r="M57" i="3"/>
  <c r="AE151" i="3"/>
  <c r="AD151" i="3"/>
  <c r="AC151" i="3"/>
  <c r="AB151" i="3"/>
  <c r="AA151" i="3"/>
  <c r="N151" i="3"/>
  <c r="I72" i="3"/>
  <c r="K139" i="3"/>
  <c r="AE31" i="3"/>
  <c r="N31" i="3"/>
  <c r="AD31" i="3"/>
  <c r="AC31" i="3"/>
  <c r="AB31" i="3"/>
  <c r="AA31" i="3"/>
  <c r="Y69" i="3"/>
  <c r="X69" i="3"/>
  <c r="W69" i="3"/>
  <c r="AB69" i="4" s="1"/>
  <c r="V69" i="3"/>
  <c r="AA69" i="4" s="1"/>
  <c r="Z69" i="3"/>
  <c r="M69" i="3"/>
  <c r="T62" i="3"/>
  <c r="S62" i="3"/>
  <c r="R62" i="3"/>
  <c r="Q62" i="3"/>
  <c r="U62" i="3"/>
  <c r="L62" i="3"/>
  <c r="U65" i="3"/>
  <c r="T65" i="3"/>
  <c r="S65" i="3"/>
  <c r="R65" i="3"/>
  <c r="Q65" i="3"/>
  <c r="L65" i="3"/>
  <c r="Y29" i="3"/>
  <c r="AD29" i="4" s="1"/>
  <c r="X29" i="3"/>
  <c r="AC29" i="4" s="1"/>
  <c r="W29" i="3"/>
  <c r="W29" i="4" s="1"/>
  <c r="V29" i="3"/>
  <c r="V29" i="4" s="1"/>
  <c r="Z29" i="3"/>
  <c r="M29" i="3"/>
  <c r="J46" i="3"/>
  <c r="AE82" i="3"/>
  <c r="AC82" i="3"/>
  <c r="AD82" i="3"/>
  <c r="AA82" i="3"/>
  <c r="AB82" i="3"/>
  <c r="N82" i="3"/>
  <c r="O82" i="3" s="1"/>
  <c r="T149" i="3"/>
  <c r="S149" i="3"/>
  <c r="R149" i="3"/>
  <c r="Q149" i="3"/>
  <c r="U149" i="3"/>
  <c r="L149" i="3"/>
  <c r="K80" i="3"/>
  <c r="Y78" i="3"/>
  <c r="Y78" i="4" s="1"/>
  <c r="DF78" i="1" s="1"/>
  <c r="Z78" i="3"/>
  <c r="X78" i="3"/>
  <c r="AC78" i="4" s="1"/>
  <c r="W78" i="3"/>
  <c r="AB78" i="4" s="1"/>
  <c r="V78" i="3"/>
  <c r="AA78" i="4" s="1"/>
  <c r="M78" i="3"/>
  <c r="T70" i="3"/>
  <c r="S70" i="3"/>
  <c r="R70" i="3"/>
  <c r="Q70" i="3"/>
  <c r="U70" i="3"/>
  <c r="L70" i="3"/>
  <c r="Q29" i="3"/>
  <c r="U29" i="3"/>
  <c r="R29" i="3"/>
  <c r="T29" i="3"/>
  <c r="S29" i="3"/>
  <c r="L29" i="3"/>
  <c r="U25" i="3"/>
  <c r="T25" i="3"/>
  <c r="S25" i="3"/>
  <c r="R25" i="3"/>
  <c r="Q25" i="3"/>
  <c r="L25" i="3"/>
  <c r="K90" i="3"/>
  <c r="T135" i="3"/>
  <c r="Q135" i="3"/>
  <c r="U135" i="3"/>
  <c r="R135" i="3"/>
  <c r="S135" i="3"/>
  <c r="L135" i="3"/>
  <c r="X85" i="3"/>
  <c r="X85" i="4" s="1"/>
  <c r="V85" i="3"/>
  <c r="V85" i="4" s="1"/>
  <c r="W85" i="3"/>
  <c r="W85" i="4" s="1"/>
  <c r="CT85" i="1" s="1"/>
  <c r="Z85" i="3"/>
  <c r="Y85" i="3"/>
  <c r="Y85" i="4" s="1"/>
  <c r="M85" i="3"/>
  <c r="AE97" i="3"/>
  <c r="AC97" i="3"/>
  <c r="AB97" i="3"/>
  <c r="AA97" i="3"/>
  <c r="AD97" i="3"/>
  <c r="N97" i="3"/>
  <c r="X94" i="3"/>
  <c r="X94" i="4" s="1"/>
  <c r="V94" i="3"/>
  <c r="AA94" i="4" s="1"/>
  <c r="Y94" i="3"/>
  <c r="Y94" i="4" s="1"/>
  <c r="Z94" i="3"/>
  <c r="W94" i="3"/>
  <c r="AB94" i="4" s="1"/>
  <c r="M94" i="3"/>
  <c r="J34" i="3"/>
  <c r="AE10" i="3"/>
  <c r="AD10" i="3"/>
  <c r="AC10" i="3"/>
  <c r="AB10" i="3"/>
  <c r="AA10" i="3"/>
  <c r="N10" i="3"/>
  <c r="K138" i="3"/>
  <c r="J138" i="3"/>
  <c r="J156" i="3"/>
  <c r="U91" i="3"/>
  <c r="S91" i="3"/>
  <c r="R91" i="3"/>
  <c r="T91" i="3"/>
  <c r="Q91" i="3"/>
  <c r="L91" i="3"/>
  <c r="U58" i="3"/>
  <c r="T58" i="3"/>
  <c r="S58" i="3"/>
  <c r="Q58" i="3"/>
  <c r="R58" i="3"/>
  <c r="L58" i="3"/>
  <c r="U105" i="3"/>
  <c r="S105" i="3"/>
  <c r="T105" i="3"/>
  <c r="Q105" i="3"/>
  <c r="R105" i="3"/>
  <c r="L105" i="3"/>
  <c r="O105" i="3" s="1"/>
  <c r="Y45" i="3"/>
  <c r="Y45" i="4" s="1"/>
  <c r="W45" i="3"/>
  <c r="W45" i="4" s="1"/>
  <c r="V45" i="3"/>
  <c r="Z45" i="3"/>
  <c r="X45" i="3"/>
  <c r="X45" i="4" s="1"/>
  <c r="M45" i="3"/>
  <c r="U50" i="3"/>
  <c r="T50" i="3"/>
  <c r="S50" i="3"/>
  <c r="Q50" i="3"/>
  <c r="R50" i="3"/>
  <c r="L50" i="3"/>
  <c r="W129" i="3"/>
  <c r="R129" i="4" s="1"/>
  <c r="Z129" i="3"/>
  <c r="X129" i="3"/>
  <c r="S129" i="4" s="1"/>
  <c r="Y129" i="3"/>
  <c r="T129" i="4" s="1"/>
  <c r="V129" i="3"/>
  <c r="M129" i="3"/>
  <c r="U104" i="3"/>
  <c r="R104" i="3"/>
  <c r="T104" i="3"/>
  <c r="S104" i="3"/>
  <c r="Q104" i="3"/>
  <c r="L104" i="3"/>
  <c r="Z123" i="3"/>
  <c r="X123" i="3"/>
  <c r="X123" i="4" s="1"/>
  <c r="V123" i="3"/>
  <c r="V123" i="4" s="1"/>
  <c r="CX123" i="1" s="1"/>
  <c r="W123" i="3"/>
  <c r="AB123" i="4" s="1"/>
  <c r="Y123" i="3"/>
  <c r="Y123" i="4" s="1"/>
  <c r="M123" i="3"/>
  <c r="W150" i="3"/>
  <c r="W150" i="4" s="1"/>
  <c r="V150" i="3"/>
  <c r="V150" i="4" s="1"/>
  <c r="Z150" i="3"/>
  <c r="Y150" i="3"/>
  <c r="Y150" i="4" s="1"/>
  <c r="X150" i="3"/>
  <c r="X150" i="4" s="1"/>
  <c r="M150" i="3"/>
  <c r="DB150" i="1"/>
  <c r="V28" i="3"/>
  <c r="V28" i="4" s="1"/>
  <c r="Z28" i="3"/>
  <c r="W28" i="3"/>
  <c r="R28" i="4" s="1"/>
  <c r="Y28" i="3"/>
  <c r="T28" i="4" s="1"/>
  <c r="X28" i="3"/>
  <c r="S28" i="4" s="1"/>
  <c r="M28" i="3"/>
  <c r="AE21" i="3"/>
  <c r="AD21" i="3"/>
  <c r="AC21" i="3"/>
  <c r="AB21" i="3"/>
  <c r="AA21" i="3"/>
  <c r="N21" i="3"/>
  <c r="K15" i="3"/>
  <c r="J15" i="3"/>
  <c r="DB91" i="1"/>
  <c r="DB111" i="1"/>
  <c r="I41" i="3"/>
  <c r="R40" i="3"/>
  <c r="U40" i="3"/>
  <c r="S40" i="3"/>
  <c r="T40" i="3"/>
  <c r="Q40" i="3"/>
  <c r="L40" i="3"/>
  <c r="AD86" i="3"/>
  <c r="AA86" i="3"/>
  <c r="AE86" i="3"/>
  <c r="AC86" i="3"/>
  <c r="AB86" i="3"/>
  <c r="N86" i="3"/>
  <c r="R56" i="3"/>
  <c r="Q56" i="3"/>
  <c r="U56" i="3"/>
  <c r="S56" i="3"/>
  <c r="T56" i="3"/>
  <c r="L56" i="3"/>
  <c r="Z122" i="3"/>
  <c r="X122" i="3"/>
  <c r="X122" i="4" s="1"/>
  <c r="CZ122" i="1" s="1"/>
  <c r="W122" i="3"/>
  <c r="V122" i="3"/>
  <c r="V122" i="4" s="1"/>
  <c r="Y122" i="3"/>
  <c r="Y122" i="4" s="1"/>
  <c r="M122" i="3"/>
  <c r="AD36" i="3"/>
  <c r="AB36" i="3"/>
  <c r="AA36" i="3"/>
  <c r="AE36" i="3"/>
  <c r="AC36" i="3"/>
  <c r="N36" i="3"/>
  <c r="J141" i="3"/>
  <c r="AE130" i="3"/>
  <c r="AC130" i="3"/>
  <c r="AA130" i="3"/>
  <c r="AD130" i="3"/>
  <c r="AB130" i="3"/>
  <c r="N130" i="3"/>
  <c r="O130" i="3" s="1"/>
  <c r="AB46" i="3"/>
  <c r="AA46" i="3"/>
  <c r="AE46" i="3"/>
  <c r="AC46" i="3"/>
  <c r="AD46" i="3"/>
  <c r="N46" i="3"/>
  <c r="U66" i="3"/>
  <c r="T66" i="3"/>
  <c r="S66" i="3"/>
  <c r="Q66" i="3"/>
  <c r="R66" i="3"/>
  <c r="L66" i="3"/>
  <c r="U93" i="3"/>
  <c r="S93" i="3"/>
  <c r="Q93" i="3"/>
  <c r="T93" i="3"/>
  <c r="R93" i="3"/>
  <c r="L93" i="3"/>
  <c r="I14" i="3"/>
  <c r="U47" i="3"/>
  <c r="T47" i="3"/>
  <c r="S47" i="3"/>
  <c r="R47" i="3"/>
  <c r="Q47" i="3"/>
  <c r="L47" i="3"/>
  <c r="W39" i="3"/>
  <c r="R39" i="4" s="1"/>
  <c r="Z39" i="3"/>
  <c r="X39" i="3"/>
  <c r="S39" i="4" s="1"/>
  <c r="Y39" i="3"/>
  <c r="T39" i="4" s="1"/>
  <c r="V39" i="3"/>
  <c r="AA39" i="4" s="1"/>
  <c r="M39" i="3"/>
  <c r="R103" i="3"/>
  <c r="U103" i="3"/>
  <c r="Q103" i="3"/>
  <c r="S103" i="3"/>
  <c r="T103" i="3"/>
  <c r="L103" i="3"/>
  <c r="K117" i="3"/>
  <c r="J117" i="3"/>
  <c r="AE145" i="3"/>
  <c r="AD145" i="3"/>
  <c r="AC145" i="3"/>
  <c r="AB145" i="3"/>
  <c r="AA145" i="3"/>
  <c r="N145" i="3"/>
  <c r="U136" i="3"/>
  <c r="T136" i="3"/>
  <c r="S136" i="3"/>
  <c r="Q136" i="3"/>
  <c r="R136" i="3"/>
  <c r="L136" i="3"/>
  <c r="O136" i="3" s="1"/>
  <c r="R102" i="3"/>
  <c r="T102" i="3"/>
  <c r="S102" i="3"/>
  <c r="U102" i="3"/>
  <c r="Q102" i="3"/>
  <c r="L102" i="3"/>
  <c r="T126" i="3"/>
  <c r="S126" i="3"/>
  <c r="Q126" i="3"/>
  <c r="R126" i="3"/>
  <c r="U126" i="3"/>
  <c r="L126" i="3"/>
  <c r="AE148" i="3"/>
  <c r="AD148" i="3"/>
  <c r="AC148" i="3"/>
  <c r="AB148" i="3"/>
  <c r="AA148" i="3"/>
  <c r="N148" i="3"/>
  <c r="DG148" i="1"/>
  <c r="AA95" i="3"/>
  <c r="AE95" i="3"/>
  <c r="AD95" i="3"/>
  <c r="AB95" i="3"/>
  <c r="AC95" i="3"/>
  <c r="N95" i="3"/>
  <c r="AE111" i="3"/>
  <c r="AC111" i="3"/>
  <c r="AB111" i="3"/>
  <c r="AD111" i="3"/>
  <c r="AA111" i="3"/>
  <c r="N111" i="3"/>
  <c r="I74" i="3"/>
  <c r="CW74" i="1" s="1"/>
  <c r="K74" i="3"/>
  <c r="T90" i="3"/>
  <c r="R90" i="3"/>
  <c r="U90" i="3"/>
  <c r="S90" i="3"/>
  <c r="Q90" i="3"/>
  <c r="L90" i="3"/>
  <c r="U57" i="3"/>
  <c r="T57" i="3"/>
  <c r="S57" i="3"/>
  <c r="R57" i="3"/>
  <c r="Q57" i="3"/>
  <c r="L57" i="3"/>
  <c r="R151" i="3"/>
  <c r="Q151" i="3"/>
  <c r="U151" i="3"/>
  <c r="T151" i="3"/>
  <c r="S151" i="3"/>
  <c r="L151" i="3"/>
  <c r="W72" i="3"/>
  <c r="W72" i="4" s="1"/>
  <c r="V72" i="3"/>
  <c r="Z72" i="3"/>
  <c r="Y72" i="3"/>
  <c r="Y72" i="4" s="1"/>
  <c r="X72" i="3"/>
  <c r="X72" i="4" s="1"/>
  <c r="CU72" i="1" s="1"/>
  <c r="M72" i="3"/>
  <c r="K154" i="3"/>
  <c r="J154" i="3"/>
  <c r="J71" i="3"/>
  <c r="Q37" i="3"/>
  <c r="T37" i="3"/>
  <c r="R37" i="3"/>
  <c r="U37" i="3"/>
  <c r="S37" i="3"/>
  <c r="L37" i="3"/>
  <c r="AC84" i="3"/>
  <c r="AA84" i="3"/>
  <c r="AD84" i="3"/>
  <c r="AB84" i="3"/>
  <c r="AE84" i="3"/>
  <c r="N84" i="3"/>
  <c r="AE142" i="3"/>
  <c r="AC142" i="3"/>
  <c r="AB142" i="3"/>
  <c r="AA142" i="3"/>
  <c r="AD142" i="3"/>
  <c r="N142" i="3"/>
  <c r="V118" i="3"/>
  <c r="V118" i="4" s="1"/>
  <c r="W118" i="3"/>
  <c r="AB118" i="4" s="1"/>
  <c r="Z118" i="3"/>
  <c r="X118" i="3"/>
  <c r="AC118" i="4" s="1"/>
  <c r="Y118" i="3"/>
  <c r="AD118" i="4" s="1"/>
  <c r="M118" i="3"/>
  <c r="Z73" i="3"/>
  <c r="Y73" i="3"/>
  <c r="Y73" i="4" s="1"/>
  <c r="X73" i="3"/>
  <c r="X73" i="4" s="1"/>
  <c r="W73" i="3"/>
  <c r="AB73" i="4" s="1"/>
  <c r="V73" i="3"/>
  <c r="AA73" i="4" s="1"/>
  <c r="M73" i="3"/>
  <c r="AE89" i="3"/>
  <c r="AB89" i="3"/>
  <c r="AC89" i="3"/>
  <c r="AD89" i="3"/>
  <c r="AA89" i="3"/>
  <c r="N89" i="3"/>
  <c r="Z76" i="3"/>
  <c r="Y76" i="3"/>
  <c r="Y76" i="4" s="1"/>
  <c r="X76" i="3"/>
  <c r="X76" i="4" s="1"/>
  <c r="W76" i="3"/>
  <c r="W76" i="4" s="1"/>
  <c r="V76" i="3"/>
  <c r="AA76" i="4" s="1"/>
  <c r="M76" i="3"/>
  <c r="Z19" i="3"/>
  <c r="Y19" i="3"/>
  <c r="Y19" i="4" s="1"/>
  <c r="X19" i="3"/>
  <c r="W19" i="3"/>
  <c r="W19" i="4" s="1"/>
  <c r="V19" i="3"/>
  <c r="V19" i="4" s="1"/>
  <c r="M19" i="3"/>
  <c r="AB157" i="3"/>
  <c r="AA157" i="3"/>
  <c r="AE157" i="3"/>
  <c r="AD157" i="3"/>
  <c r="AC157" i="3"/>
  <c r="N157" i="3"/>
  <c r="S133" i="3"/>
  <c r="Q133" i="3"/>
  <c r="T133" i="3"/>
  <c r="R133" i="3"/>
  <c r="U133" i="3"/>
  <c r="L133" i="3"/>
  <c r="AE29" i="3"/>
  <c r="AD29" i="3"/>
  <c r="AC29" i="3"/>
  <c r="AB29" i="3"/>
  <c r="AA29" i="3"/>
  <c r="N29" i="3"/>
  <c r="K35" i="3"/>
  <c r="Q87" i="3"/>
  <c r="T87" i="3"/>
  <c r="S87" i="3"/>
  <c r="U87" i="3"/>
  <c r="R87" i="3"/>
  <c r="L87" i="3"/>
  <c r="Q116" i="3"/>
  <c r="T116" i="3"/>
  <c r="U116" i="3"/>
  <c r="R116" i="3"/>
  <c r="S116" i="3"/>
  <c r="L116" i="3"/>
  <c r="AC135" i="3"/>
  <c r="AB135" i="3"/>
  <c r="AA135" i="3"/>
  <c r="AD135" i="3"/>
  <c r="AE135" i="3"/>
  <c r="N135" i="3"/>
  <c r="I85" i="3"/>
  <c r="AC33" i="3"/>
  <c r="AB33" i="3"/>
  <c r="AA33" i="3"/>
  <c r="AD33" i="3"/>
  <c r="N33" i="3"/>
  <c r="AE33" i="3"/>
  <c r="J104" i="3"/>
  <c r="AA59" i="3"/>
  <c r="AE59" i="3"/>
  <c r="AD59" i="3"/>
  <c r="AB59" i="3"/>
  <c r="AC59" i="3"/>
  <c r="N59" i="3"/>
  <c r="J95" i="3"/>
  <c r="J42" i="3"/>
  <c r="O20" i="3"/>
  <c r="O158" i="3"/>
  <c r="O92" i="3"/>
  <c r="R16" i="3"/>
  <c r="Q16" i="3"/>
  <c r="S16" i="3"/>
  <c r="U16" i="3"/>
  <c r="T16" i="3"/>
  <c r="L16" i="3"/>
  <c r="I11" i="3"/>
  <c r="K11" i="3"/>
  <c r="X35" i="3"/>
  <c r="X35" i="4" s="1"/>
  <c r="V35" i="3"/>
  <c r="V35" i="4" s="1"/>
  <c r="Z35" i="3"/>
  <c r="Y35" i="3"/>
  <c r="W35" i="3"/>
  <c r="W35" i="4" s="1"/>
  <c r="M35" i="3"/>
  <c r="AC25" i="3"/>
  <c r="AB25" i="3"/>
  <c r="AA25" i="3"/>
  <c r="AD25" i="3"/>
  <c r="N25" i="3"/>
  <c r="AE25" i="3"/>
  <c r="S146" i="3"/>
  <c r="R146" i="3"/>
  <c r="Q146" i="3"/>
  <c r="U146" i="3"/>
  <c r="T146" i="3"/>
  <c r="L146" i="3"/>
  <c r="U42" i="3"/>
  <c r="S42" i="3"/>
  <c r="Q42" i="3"/>
  <c r="R42" i="3"/>
  <c r="T42" i="3"/>
  <c r="L42" i="3"/>
  <c r="DG21" i="1"/>
  <c r="DB114" i="1"/>
  <c r="DG41" i="1"/>
  <c r="I124" i="3"/>
  <c r="I113" i="3"/>
  <c r="AD12" i="3"/>
  <c r="AC12" i="3"/>
  <c r="AB12" i="3"/>
  <c r="AA12" i="3"/>
  <c r="AE12" i="3"/>
  <c r="N12" i="3"/>
  <c r="I122" i="3"/>
  <c r="I26" i="3"/>
  <c r="J26" i="3"/>
  <c r="I46" i="3"/>
  <c r="AE66" i="3"/>
  <c r="AD66" i="3"/>
  <c r="AC66" i="3"/>
  <c r="AB66" i="3"/>
  <c r="AA66" i="3"/>
  <c r="N66" i="3"/>
  <c r="AC93" i="3"/>
  <c r="AA93" i="3"/>
  <c r="AD93" i="3"/>
  <c r="AE93" i="3"/>
  <c r="AB93" i="3"/>
  <c r="N93" i="3"/>
  <c r="I115" i="3"/>
  <c r="AA76" i="3"/>
  <c r="AE76" i="3"/>
  <c r="AD76" i="3"/>
  <c r="AC76" i="3"/>
  <c r="AB76" i="3"/>
  <c r="N76" i="3"/>
  <c r="AE34" i="3"/>
  <c r="AD34" i="3"/>
  <c r="AC34" i="3"/>
  <c r="AB34" i="3"/>
  <c r="AA34" i="3"/>
  <c r="N34" i="3"/>
  <c r="I117" i="3"/>
  <c r="I145" i="3"/>
  <c r="CW145" i="1" s="1"/>
  <c r="AC136" i="3"/>
  <c r="AE136" i="3"/>
  <c r="AB136" i="3"/>
  <c r="AD136" i="3"/>
  <c r="AA136" i="3"/>
  <c r="N136" i="3"/>
  <c r="I107" i="3"/>
  <c r="V126" i="3"/>
  <c r="Y126" i="3"/>
  <c r="Y126" i="4" s="1"/>
  <c r="CV126" i="1" s="1"/>
  <c r="W126" i="3"/>
  <c r="Z126" i="3"/>
  <c r="X126" i="3"/>
  <c r="M126" i="3"/>
  <c r="Y79" i="3"/>
  <c r="T79" i="4" s="1"/>
  <c r="Z79" i="3"/>
  <c r="W79" i="3"/>
  <c r="R79" i="4" s="1"/>
  <c r="X79" i="3"/>
  <c r="S79" i="4" s="1"/>
  <c r="V79" i="3"/>
  <c r="V79" i="4" s="1"/>
  <c r="DC79" i="1" s="1"/>
  <c r="M79" i="3"/>
  <c r="O79" i="3" s="1"/>
  <c r="I111" i="3"/>
  <c r="R24" i="3"/>
  <c r="Q24" i="3"/>
  <c r="S24" i="3"/>
  <c r="U24" i="3"/>
  <c r="T24" i="3"/>
  <c r="L24" i="3"/>
  <c r="Z152" i="3"/>
  <c r="Y152" i="3"/>
  <c r="AD152" i="4" s="1"/>
  <c r="X152" i="3"/>
  <c r="X152" i="4" s="1"/>
  <c r="W152" i="3"/>
  <c r="W152" i="4" s="1"/>
  <c r="CY152" i="1" s="1"/>
  <c r="V152" i="3"/>
  <c r="V152" i="4" s="1"/>
  <c r="DC152" i="1" s="1"/>
  <c r="M152" i="3"/>
  <c r="I125" i="3"/>
  <c r="J44" i="3"/>
  <c r="I140" i="3"/>
  <c r="I154" i="3"/>
  <c r="Z120" i="3"/>
  <c r="Y120" i="3"/>
  <c r="Y120" i="4" s="1"/>
  <c r="W120" i="3"/>
  <c r="X120" i="3"/>
  <c r="X120" i="4" s="1"/>
  <c r="V120" i="3"/>
  <c r="V120" i="4" s="1"/>
  <c r="M120" i="3"/>
  <c r="Y37" i="3"/>
  <c r="T37" i="4" s="1"/>
  <c r="W37" i="3"/>
  <c r="R37" i="4" s="1"/>
  <c r="V37" i="3"/>
  <c r="V37" i="4" s="1"/>
  <c r="Z37" i="3"/>
  <c r="X37" i="3"/>
  <c r="S37" i="4" s="1"/>
  <c r="M37" i="3"/>
  <c r="I84" i="3"/>
  <c r="I142" i="3"/>
  <c r="I118" i="3"/>
  <c r="I73" i="3"/>
  <c r="I89" i="3"/>
  <c r="I76" i="3"/>
  <c r="I19" i="3"/>
  <c r="I157" i="3"/>
  <c r="Y133" i="3"/>
  <c r="Y133" i="4" s="1"/>
  <c r="X133" i="3"/>
  <c r="V133" i="3"/>
  <c r="W133" i="3"/>
  <c r="Z133" i="3"/>
  <c r="M133" i="3"/>
  <c r="V98" i="3"/>
  <c r="V98" i="4" s="1"/>
  <c r="X98" i="3"/>
  <c r="S98" i="4" s="1"/>
  <c r="Y98" i="3"/>
  <c r="T98" i="4" s="1"/>
  <c r="W98" i="3"/>
  <c r="AB98" i="4" s="1"/>
  <c r="Z98" i="3"/>
  <c r="M98" i="3"/>
  <c r="K112" i="3"/>
  <c r="Y87" i="3"/>
  <c r="Y87" i="4" s="1"/>
  <c r="V87" i="3"/>
  <c r="V87" i="4" s="1"/>
  <c r="DC87" i="1" s="1"/>
  <c r="Z87" i="3"/>
  <c r="W87" i="3"/>
  <c r="R87" i="4" s="1"/>
  <c r="X87" i="3"/>
  <c r="AC87" i="4" s="1"/>
  <c r="M87" i="3"/>
  <c r="AA116" i="3"/>
  <c r="AE116" i="3"/>
  <c r="AD116" i="3"/>
  <c r="AB116" i="3"/>
  <c r="AC116" i="3"/>
  <c r="N116" i="3"/>
  <c r="AE23" i="3"/>
  <c r="N23" i="3"/>
  <c r="AD23" i="3"/>
  <c r="AC23" i="3"/>
  <c r="AB23" i="3"/>
  <c r="AA23" i="3"/>
  <c r="J27" i="3"/>
  <c r="I33" i="3"/>
  <c r="J147" i="3"/>
  <c r="AC123" i="3"/>
  <c r="AA123" i="3"/>
  <c r="AD123" i="3"/>
  <c r="AE123" i="3"/>
  <c r="AB123" i="3"/>
  <c r="N123" i="3"/>
  <c r="AC144" i="3"/>
  <c r="AB144" i="3"/>
  <c r="AA144" i="3"/>
  <c r="AE144" i="3"/>
  <c r="AD144" i="3"/>
  <c r="N144" i="3"/>
  <c r="CW122" i="1"/>
  <c r="CU132" i="1"/>
  <c r="CX132" i="1"/>
  <c r="CU101" i="1"/>
  <c r="DB152" i="1"/>
  <c r="CY109" i="1"/>
  <c r="DD109" i="1"/>
  <c r="CT109" i="1"/>
  <c r="DA108" i="1"/>
  <c r="CX109" i="1"/>
  <c r="DC109" i="1"/>
  <c r="DB80" i="1"/>
  <c r="DG147" i="1"/>
  <c r="DG17" i="1"/>
  <c r="CW129" i="1"/>
  <c r="DB93" i="1"/>
  <c r="CW15" i="1"/>
  <c r="DB120" i="1"/>
  <c r="DB157" i="1"/>
  <c r="CW126" i="1"/>
  <c r="DG43" i="1"/>
  <c r="DG61" i="1"/>
  <c r="DG87" i="1"/>
  <c r="CW116" i="1"/>
  <c r="DB39" i="1"/>
  <c r="DB21" i="1"/>
  <c r="DG131" i="1"/>
  <c r="CW96" i="1"/>
  <c r="DG127" i="1"/>
  <c r="DB78" i="1"/>
  <c r="DB43" i="1"/>
  <c r="DG107" i="1"/>
  <c r="DB19" i="1"/>
  <c r="DG48" i="1"/>
  <c r="DG72" i="1"/>
  <c r="CW149" i="1"/>
  <c r="DG50" i="1"/>
  <c r="CW91" i="1"/>
  <c r="DB98" i="1"/>
  <c r="CW146" i="1"/>
  <c r="DB32" i="1"/>
  <c r="CW48" i="1"/>
  <c r="DB22" i="1"/>
  <c r="DG38" i="1"/>
  <c r="DB144" i="1"/>
  <c r="DG63" i="1"/>
  <c r="DB12" i="1"/>
  <c r="CW137" i="1"/>
  <c r="DG45" i="1"/>
  <c r="DB45" i="1"/>
  <c r="DG104" i="1"/>
  <c r="DB72" i="1"/>
  <c r="CW55" i="1"/>
  <c r="DG91" i="1"/>
  <c r="DG82" i="1"/>
  <c r="DG25" i="1"/>
  <c r="DG120" i="1"/>
  <c r="DB92" i="1"/>
  <c r="DC92" i="1"/>
  <c r="DB17" i="1"/>
  <c r="CW59" i="1"/>
  <c r="DB127" i="1"/>
  <c r="DB40" i="1"/>
  <c r="CW133" i="1"/>
  <c r="DG19" i="1"/>
  <c r="DG95" i="1"/>
  <c r="DB112" i="1"/>
  <c r="DB38" i="1"/>
  <c r="DB44" i="1"/>
  <c r="DG98" i="1"/>
  <c r="CW52" i="1"/>
  <c r="DB151" i="1"/>
  <c r="DG76" i="1"/>
  <c r="DB116" i="1"/>
  <c r="DG116" i="1"/>
  <c r="CW112" i="1"/>
  <c r="DB26" i="1"/>
  <c r="DG26" i="1"/>
  <c r="DG39" i="1"/>
  <c r="CW46" i="1"/>
  <c r="CZ101" i="1"/>
  <c r="DB64" i="1"/>
  <c r="DG52" i="1"/>
  <c r="DB24" i="1"/>
  <c r="CW105" i="1"/>
  <c r="CW119" i="1"/>
  <c r="DG151" i="1"/>
  <c r="CW78" i="1"/>
  <c r="DB54" i="1"/>
  <c r="DB105" i="1"/>
  <c r="DB31" i="1"/>
  <c r="DB107" i="1"/>
  <c r="DB140" i="1"/>
  <c r="CW95" i="1"/>
  <c r="DG142" i="1"/>
  <c r="DG158" i="1"/>
  <c r="DG40" i="1"/>
  <c r="DB16" i="1"/>
  <c r="DG18" i="1"/>
  <c r="DG129" i="1"/>
  <c r="DB28" i="1"/>
  <c r="DG105" i="1"/>
  <c r="DG126" i="1"/>
  <c r="CV47" i="1"/>
  <c r="CW47" i="1"/>
  <c r="DG140" i="1"/>
  <c r="DB135" i="1"/>
  <c r="DB14" i="1"/>
  <c r="CW154" i="1"/>
  <c r="DG144" i="1"/>
  <c r="CW61" i="1"/>
  <c r="DB74" i="1"/>
  <c r="DG49" i="1"/>
  <c r="DB82" i="1"/>
  <c r="DG145" i="1"/>
  <c r="DB34" i="1"/>
  <c r="CW108" i="1"/>
  <c r="CW143" i="1"/>
  <c r="DG110" i="1"/>
  <c r="DC132" i="1"/>
  <c r="CW83" i="1"/>
  <c r="CW31" i="1"/>
  <c r="CW71" i="1"/>
  <c r="CW87" i="1"/>
  <c r="DG79" i="1"/>
  <c r="DG34" i="1"/>
  <c r="DG83" i="1"/>
  <c r="CW158" i="1"/>
  <c r="DB11" i="1"/>
  <c r="CW25" i="1"/>
  <c r="CW80" i="1"/>
  <c r="DB36" i="1"/>
  <c r="DB84" i="1"/>
  <c r="DB27" i="1"/>
  <c r="DB115" i="1"/>
  <c r="DB146" i="1"/>
  <c r="CW123" i="1"/>
  <c r="DB55" i="1"/>
  <c r="DG59" i="1"/>
  <c r="DB130" i="1"/>
  <c r="DB103" i="1"/>
  <c r="CW124" i="1"/>
  <c r="DB97" i="1"/>
  <c r="DB81" i="1"/>
  <c r="DB41" i="1"/>
  <c r="DB68" i="1"/>
  <c r="DB58" i="1"/>
  <c r="CW138" i="1"/>
  <c r="DB56" i="1"/>
  <c r="DB13" i="1"/>
  <c r="DG75" i="1"/>
  <c r="DG73" i="1"/>
  <c r="CW70" i="1"/>
  <c r="DG113" i="1"/>
  <c r="DB154" i="1"/>
  <c r="CW28" i="1"/>
  <c r="DG36" i="1"/>
  <c r="DG84" i="1"/>
  <c r="DB147" i="1"/>
  <c r="DG27" i="1"/>
  <c r="DG155" i="1"/>
  <c r="DG136" i="1"/>
  <c r="DG20" i="1"/>
  <c r="DG69" i="1"/>
  <c r="DG157" i="1"/>
  <c r="DG123" i="1"/>
  <c r="DB70" i="1"/>
  <c r="CW113" i="1"/>
  <c r="CW93" i="1"/>
  <c r="DB59" i="1"/>
  <c r="DG56" i="1"/>
  <c r="DB122" i="1"/>
  <c r="CW63" i="1"/>
  <c r="CW30" i="1"/>
  <c r="DB65" i="1"/>
  <c r="CW13" i="1"/>
  <c r="DB29" i="1"/>
  <c r="DB142" i="1"/>
  <c r="DB119" i="1"/>
  <c r="DF143" i="1"/>
  <c r="DB143" i="1"/>
  <c r="CW147" i="1"/>
  <c r="DG92" i="1"/>
  <c r="DB20" i="1"/>
  <c r="DB94" i="1"/>
  <c r="DG24" i="1"/>
  <c r="DB15" i="1"/>
  <c r="DG93" i="1"/>
  <c r="CW103" i="1"/>
  <c r="CW131" i="1"/>
  <c r="DB49" i="1"/>
  <c r="CW142" i="1"/>
  <c r="DB23" i="1"/>
  <c r="DG152" i="1"/>
  <c r="DG130" i="1"/>
  <c r="DG47" i="1"/>
  <c r="CW155" i="1"/>
  <c r="DB71" i="1"/>
  <c r="DG54" i="1"/>
  <c r="CW58" i="1"/>
  <c r="DG23" i="1"/>
  <c r="DG133" i="1"/>
  <c r="CW157" i="1"/>
  <c r="DB123" i="1"/>
  <c r="DG70" i="1"/>
  <c r="DG94" i="1"/>
  <c r="DG156" i="1"/>
  <c r="DB138" i="1"/>
  <c r="CW121" i="1"/>
  <c r="CW35" i="1"/>
  <c r="CW110" i="1"/>
  <c r="DG137" i="1"/>
  <c r="DB136" i="1"/>
  <c r="DG66" i="1"/>
  <c r="DB149" i="1"/>
  <c r="DB102" i="1"/>
  <c r="DG32" i="1"/>
  <c r="DA106" i="1"/>
  <c r="DB128" i="1"/>
  <c r="CZ132" i="1"/>
  <c r="DB66" i="1"/>
  <c r="CW42" i="1"/>
  <c r="CW16" i="1"/>
  <c r="DG154" i="1"/>
  <c r="DB76" i="1"/>
  <c r="CW153" i="1"/>
  <c r="DB124" i="1"/>
  <c r="DG149" i="1"/>
  <c r="CW118" i="1"/>
  <c r="CT118" i="1"/>
  <c r="CW128" i="1"/>
  <c r="DG102" i="1"/>
  <c r="DB33" i="1"/>
  <c r="DB73" i="1"/>
  <c r="CX134" i="1" l="1"/>
  <c r="DC134" i="1"/>
  <c r="CZ67" i="1"/>
  <c r="DE67" i="1"/>
  <c r="CU67" i="1"/>
  <c r="DC91" i="1"/>
  <c r="CX91" i="1"/>
  <c r="DE88" i="1"/>
  <c r="CZ88" i="1"/>
  <c r="CU88" i="1"/>
  <c r="CV111" i="1"/>
  <c r="DA111" i="1"/>
  <c r="DF111" i="1"/>
  <c r="DA85" i="1"/>
  <c r="DF85" i="1"/>
  <c r="CV85" i="1"/>
  <c r="DD25" i="1"/>
  <c r="CT25" i="1"/>
  <c r="DF137" i="1"/>
  <c r="CV137" i="1"/>
  <c r="DE90" i="1"/>
  <c r="CU90" i="1"/>
  <c r="CZ90" i="1"/>
  <c r="CV133" i="1"/>
  <c r="DF133" i="1"/>
  <c r="DC30" i="1"/>
  <c r="CX30" i="1"/>
  <c r="DC60" i="1"/>
  <c r="CX60" i="1"/>
  <c r="CZ85" i="1"/>
  <c r="CU85" i="1"/>
  <c r="DE85" i="1"/>
  <c r="CU134" i="1"/>
  <c r="CZ134" i="1"/>
  <c r="DE134" i="1"/>
  <c r="DE30" i="1"/>
  <c r="CZ30" i="1"/>
  <c r="CU30" i="1"/>
  <c r="DC158" i="1"/>
  <c r="CX158" i="1"/>
  <c r="CT134" i="1"/>
  <c r="DD134" i="1"/>
  <c r="CY134" i="1"/>
  <c r="DA30" i="1"/>
  <c r="CV30" i="1"/>
  <c r="DD121" i="1"/>
  <c r="CY121" i="1"/>
  <c r="CT121" i="1"/>
  <c r="Z100" i="4"/>
  <c r="Z18" i="4"/>
  <c r="U77" i="4"/>
  <c r="R77" i="4"/>
  <c r="AA23" i="4"/>
  <c r="AE47" i="4"/>
  <c r="AD47" i="4"/>
  <c r="AC47" i="4"/>
  <c r="AB47" i="4"/>
  <c r="AA47" i="4"/>
  <c r="AD82" i="4"/>
  <c r="S58" i="4"/>
  <c r="CV108" i="1"/>
  <c r="DE52" i="1"/>
  <c r="AE112" i="4"/>
  <c r="AB112" i="4"/>
  <c r="U89" i="4"/>
  <c r="O123" i="3"/>
  <c r="W156" i="4"/>
  <c r="CY156" i="1" s="1"/>
  <c r="Z156" i="4"/>
  <c r="DB46" i="1"/>
  <c r="Z46" i="4"/>
  <c r="X46" i="4"/>
  <c r="L80" i="3"/>
  <c r="U86" i="4"/>
  <c r="AD14" i="4"/>
  <c r="AC14" i="4"/>
  <c r="AB14" i="4"/>
  <c r="AA14" i="4"/>
  <c r="AE14" i="4"/>
  <c r="AE100" i="4"/>
  <c r="AB100" i="4"/>
  <c r="AE53" i="4"/>
  <c r="AD68" i="4"/>
  <c r="AA68" i="4"/>
  <c r="AE68" i="4"/>
  <c r="AC68" i="4"/>
  <c r="AB68" i="4"/>
  <c r="Z38" i="4"/>
  <c r="X38" i="4"/>
  <c r="CZ52" i="1"/>
  <c r="R131" i="4"/>
  <c r="AD47" i="3"/>
  <c r="Z24" i="4"/>
  <c r="Z86" i="4"/>
  <c r="Y148" i="4"/>
  <c r="Z148" i="4"/>
  <c r="V125" i="4"/>
  <c r="CX125" i="1" s="1"/>
  <c r="Z125" i="4"/>
  <c r="Z115" i="4"/>
  <c r="U141" i="4"/>
  <c r="Z96" i="4"/>
  <c r="R105" i="4"/>
  <c r="T110" i="4"/>
  <c r="R110" i="4"/>
  <c r="U110" i="4"/>
  <c r="S110" i="4"/>
  <c r="AB23" i="4"/>
  <c r="W98" i="4"/>
  <c r="AC20" i="4"/>
  <c r="AA127" i="4"/>
  <c r="V102" i="4"/>
  <c r="V84" i="4"/>
  <c r="Z84" i="4"/>
  <c r="Y84" i="4"/>
  <c r="X84" i="4"/>
  <c r="W84" i="4"/>
  <c r="V108" i="4"/>
  <c r="AD58" i="4"/>
  <c r="AC140" i="4"/>
  <c r="T128" i="4"/>
  <c r="Y31" i="4"/>
  <c r="W111" i="4"/>
  <c r="R143" i="4"/>
  <c r="AB37" i="4"/>
  <c r="AD10" i="4"/>
  <c r="X118" i="4"/>
  <c r="CU118" i="1" s="1"/>
  <c r="V116" i="4"/>
  <c r="CX116" i="1" s="1"/>
  <c r="AB158" i="4"/>
  <c r="U114" i="4"/>
  <c r="T114" i="4"/>
  <c r="R114" i="4"/>
  <c r="S114" i="4"/>
  <c r="R21" i="4"/>
  <c r="X121" i="4"/>
  <c r="AE27" i="4"/>
  <c r="X157" i="4"/>
  <c r="V146" i="4"/>
  <c r="AC13" i="4"/>
  <c r="R90" i="4"/>
  <c r="Y107" i="4"/>
  <c r="X107" i="4"/>
  <c r="W107" i="4"/>
  <c r="Z107" i="4"/>
  <c r="V107" i="4"/>
  <c r="AA61" i="4"/>
  <c r="Y66" i="4"/>
  <c r="U25" i="4"/>
  <c r="T25" i="4"/>
  <c r="S25" i="4"/>
  <c r="R25" i="4"/>
  <c r="X65" i="4"/>
  <c r="AA88" i="4"/>
  <c r="U47" i="4"/>
  <c r="T47" i="4"/>
  <c r="R47" i="4"/>
  <c r="S47" i="4"/>
  <c r="V43" i="4"/>
  <c r="T127" i="4"/>
  <c r="AC43" i="4"/>
  <c r="W58" i="4"/>
  <c r="AC108" i="4"/>
  <c r="T32" i="4"/>
  <c r="U32" i="4"/>
  <c r="S32" i="3"/>
  <c r="L32" i="3"/>
  <c r="U32" i="3"/>
  <c r="T32" i="3"/>
  <c r="Q32" i="3"/>
  <c r="CW32" i="1"/>
  <c r="R32" i="3"/>
  <c r="AB59" i="4"/>
  <c r="AD39" i="4"/>
  <c r="U133" i="4"/>
  <c r="T133" i="4"/>
  <c r="R133" i="4"/>
  <c r="S133" i="4"/>
  <c r="X33" i="4"/>
  <c r="AC65" i="4"/>
  <c r="U136" i="4"/>
  <c r="T136" i="4"/>
  <c r="S136" i="4"/>
  <c r="R136" i="4"/>
  <c r="CW136" i="1"/>
  <c r="W130" i="4"/>
  <c r="CY130" i="1" s="1"/>
  <c r="AE36" i="4"/>
  <c r="AA31" i="4"/>
  <c r="AB152" i="4"/>
  <c r="T58" i="4"/>
  <c r="AC35" i="4"/>
  <c r="AB35" i="4"/>
  <c r="AA35" i="4"/>
  <c r="AD35" i="4"/>
  <c r="AE35" i="4"/>
  <c r="Z141" i="4"/>
  <c r="AE150" i="4"/>
  <c r="AD150" i="4"/>
  <c r="AC150" i="4"/>
  <c r="AB150" i="4"/>
  <c r="AA150" i="4"/>
  <c r="CY110" i="1"/>
  <c r="AE55" i="4"/>
  <c r="AB55" i="4"/>
  <c r="AA55" i="4"/>
  <c r="AC55" i="4"/>
  <c r="AD55" i="4"/>
  <c r="DA131" i="1"/>
  <c r="T131" i="4"/>
  <c r="AE42" i="4"/>
  <c r="Z151" i="4"/>
  <c r="W151" i="4"/>
  <c r="AD79" i="4"/>
  <c r="CT10" i="1"/>
  <c r="U73" i="4"/>
  <c r="R73" i="4"/>
  <c r="S73" i="4"/>
  <c r="T73" i="4"/>
  <c r="U154" i="4"/>
  <c r="U111" i="4"/>
  <c r="T111" i="4"/>
  <c r="S111" i="4"/>
  <c r="R111" i="4"/>
  <c r="CZ126" i="1"/>
  <c r="U46" i="4"/>
  <c r="AC11" i="4"/>
  <c r="AB11" i="4"/>
  <c r="AA11" i="4"/>
  <c r="AE11" i="4"/>
  <c r="AD11" i="4"/>
  <c r="Z138" i="4"/>
  <c r="W138" i="4"/>
  <c r="Z34" i="4"/>
  <c r="O29" i="3"/>
  <c r="Q80" i="3"/>
  <c r="U95" i="4"/>
  <c r="CX25" i="1"/>
  <c r="AC147" i="4"/>
  <c r="AE147" i="4"/>
  <c r="Z139" i="4"/>
  <c r="Z53" i="4"/>
  <c r="Z93" i="4"/>
  <c r="T55" i="4"/>
  <c r="S55" i="4"/>
  <c r="R55" i="4"/>
  <c r="U55" i="4"/>
  <c r="Z119" i="4"/>
  <c r="AA45" i="4"/>
  <c r="AE45" i="4"/>
  <c r="AD45" i="4"/>
  <c r="AB45" i="4"/>
  <c r="AC45" i="4"/>
  <c r="O39" i="3"/>
  <c r="AA67" i="4"/>
  <c r="AE67" i="4"/>
  <c r="AD67" i="4"/>
  <c r="AC67" i="4"/>
  <c r="AB67" i="4"/>
  <c r="CX131" i="1"/>
  <c r="DA137" i="1"/>
  <c r="AE47" i="3"/>
  <c r="Z113" i="4"/>
  <c r="DD62" i="1"/>
  <c r="AE125" i="4"/>
  <c r="CX61" i="1"/>
  <c r="S45" i="4"/>
  <c r="R45" i="4"/>
  <c r="T45" i="4"/>
  <c r="U45" i="4"/>
  <c r="AE153" i="4"/>
  <c r="W63" i="4"/>
  <c r="Z63" i="4"/>
  <c r="S105" i="4"/>
  <c r="AC23" i="4"/>
  <c r="X98" i="4"/>
  <c r="AD20" i="4"/>
  <c r="AB127" i="4"/>
  <c r="X102" i="4"/>
  <c r="W108" i="4"/>
  <c r="AD140" i="4"/>
  <c r="R150" i="4"/>
  <c r="AA131" i="4"/>
  <c r="W105" i="4"/>
  <c r="AA91" i="4"/>
  <c r="R152" i="4"/>
  <c r="AD37" i="4"/>
  <c r="AC73" i="4"/>
  <c r="R121" i="4"/>
  <c r="Y118" i="4"/>
  <c r="X91" i="4"/>
  <c r="V78" i="4"/>
  <c r="AC158" i="4"/>
  <c r="W28" i="4"/>
  <c r="Y121" i="4"/>
  <c r="Y157" i="4"/>
  <c r="CV157" i="1" s="1"/>
  <c r="W146" i="4"/>
  <c r="DD146" i="1" s="1"/>
  <c r="AD87" i="4"/>
  <c r="W75" i="4"/>
  <c r="DD75" i="1" s="1"/>
  <c r="S43" i="4"/>
  <c r="R130" i="4"/>
  <c r="AA21" i="4"/>
  <c r="AB21" i="4"/>
  <c r="AE21" i="4"/>
  <c r="AD21" i="4"/>
  <c r="AC21" i="4"/>
  <c r="V73" i="4"/>
  <c r="Y65" i="4"/>
  <c r="S13" i="4"/>
  <c r="R13" i="4"/>
  <c r="U13" i="4"/>
  <c r="T13" i="4"/>
  <c r="AC88" i="4"/>
  <c r="W79" i="4"/>
  <c r="V137" i="4"/>
  <c r="DC137" i="1" s="1"/>
  <c r="Y61" i="4"/>
  <c r="Z81" i="4"/>
  <c r="Y81" i="4"/>
  <c r="X81" i="4"/>
  <c r="W81" i="4"/>
  <c r="V81" i="4"/>
  <c r="Y13" i="4"/>
  <c r="DF13" i="1" s="1"/>
  <c r="W23" i="4"/>
  <c r="AB60" i="4"/>
  <c r="AB32" i="4"/>
  <c r="AE32" i="4"/>
  <c r="AD32" i="3"/>
  <c r="AA32" i="3"/>
  <c r="AC32" i="3"/>
  <c r="AB32" i="3"/>
  <c r="N32" i="3"/>
  <c r="AE32" i="3"/>
  <c r="AC59" i="4"/>
  <c r="AB116" i="4"/>
  <c r="Y82" i="4"/>
  <c r="V69" i="4"/>
  <c r="DC69" i="1" s="1"/>
  <c r="AB76" i="4"/>
  <c r="X130" i="4"/>
  <c r="CU130" i="1" s="1"/>
  <c r="AB110" i="4"/>
  <c r="AC110" i="4"/>
  <c r="AA110" i="4"/>
  <c r="AE110" i="4"/>
  <c r="AD110" i="4"/>
  <c r="AC94" i="4"/>
  <c r="Y59" i="4"/>
  <c r="AB31" i="4"/>
  <c r="AC152" i="4"/>
  <c r="W122" i="4"/>
  <c r="CY122" i="1" s="1"/>
  <c r="U76" i="4"/>
  <c r="T76" i="4"/>
  <c r="S76" i="4"/>
  <c r="R76" i="4"/>
  <c r="AE139" i="4"/>
  <c r="S75" i="4"/>
  <c r="R75" i="4"/>
  <c r="U75" i="4"/>
  <c r="T75" i="4"/>
  <c r="CU126" i="1"/>
  <c r="DD10" i="1"/>
  <c r="T118" i="4"/>
  <c r="S118" i="4"/>
  <c r="R118" i="4"/>
  <c r="U118" i="4"/>
  <c r="U140" i="4"/>
  <c r="R140" i="4"/>
  <c r="S140" i="4"/>
  <c r="T140" i="4"/>
  <c r="Z26" i="4"/>
  <c r="U11" i="4"/>
  <c r="T11" i="4"/>
  <c r="S11" i="4"/>
  <c r="R11" i="4"/>
  <c r="Z71" i="4"/>
  <c r="V71" i="4"/>
  <c r="Z117" i="4"/>
  <c r="O91" i="3"/>
  <c r="AE138" i="4"/>
  <c r="AE90" i="4"/>
  <c r="AA90" i="4"/>
  <c r="AD90" i="4"/>
  <c r="AC90" i="4"/>
  <c r="AB90" i="4"/>
  <c r="R80" i="3"/>
  <c r="U148" i="4"/>
  <c r="U30" i="4"/>
  <c r="T30" i="4"/>
  <c r="S30" i="4"/>
  <c r="R30" i="4"/>
  <c r="U44" i="4"/>
  <c r="AE56" i="4"/>
  <c r="AD56" i="4"/>
  <c r="AC56" i="4"/>
  <c r="AB56" i="4"/>
  <c r="AA56" i="4"/>
  <c r="AE48" i="4"/>
  <c r="AC48" i="4"/>
  <c r="U51" i="4"/>
  <c r="Z40" i="4"/>
  <c r="Y40" i="4"/>
  <c r="AB134" i="4"/>
  <c r="AA134" i="4"/>
  <c r="AE134" i="4"/>
  <c r="AC134" i="4"/>
  <c r="AD134" i="4"/>
  <c r="AE119" i="4"/>
  <c r="S131" i="4"/>
  <c r="CX50" i="1"/>
  <c r="L144" i="3"/>
  <c r="Z22" i="4"/>
  <c r="Z112" i="4"/>
  <c r="X112" i="4"/>
  <c r="R61" i="4"/>
  <c r="U153" i="4"/>
  <c r="S153" i="4"/>
  <c r="R137" i="4"/>
  <c r="AA33" i="4"/>
  <c r="AD23" i="4"/>
  <c r="Y158" i="4"/>
  <c r="DA158" i="1" s="1"/>
  <c r="R120" i="4"/>
  <c r="U120" i="4"/>
  <c r="S120" i="4"/>
  <c r="T120" i="4"/>
  <c r="CW120" i="1"/>
  <c r="V39" i="4"/>
  <c r="AB58" i="4"/>
  <c r="S150" i="4"/>
  <c r="AA98" i="4"/>
  <c r="X105" i="4"/>
  <c r="CU105" i="1" s="1"/>
  <c r="AC91" i="4"/>
  <c r="S152" i="4"/>
  <c r="S121" i="4"/>
  <c r="S29" i="4"/>
  <c r="R29" i="4"/>
  <c r="T29" i="4"/>
  <c r="U29" i="4"/>
  <c r="CW29" i="1"/>
  <c r="V124" i="4"/>
  <c r="Z124" i="4"/>
  <c r="Y124" i="4"/>
  <c r="W124" i="4"/>
  <c r="X124" i="4"/>
  <c r="Y91" i="4"/>
  <c r="W78" i="4"/>
  <c r="AD158" i="4"/>
  <c r="X28" i="4"/>
  <c r="T21" i="4"/>
  <c r="T123" i="4"/>
  <c r="AE120" i="4"/>
  <c r="AD120" i="4"/>
  <c r="AC120" i="4"/>
  <c r="AA120" i="4"/>
  <c r="AB120" i="4"/>
  <c r="X146" i="4"/>
  <c r="CU146" i="1" s="1"/>
  <c r="X75" i="4"/>
  <c r="DE75" i="1" s="1"/>
  <c r="R56" i="4"/>
  <c r="U56" i="4"/>
  <c r="T56" i="4"/>
  <c r="S56" i="4"/>
  <c r="CW56" i="1"/>
  <c r="R67" i="4"/>
  <c r="T43" i="4"/>
  <c r="S130" i="4"/>
  <c r="W127" i="4"/>
  <c r="W142" i="4"/>
  <c r="V142" i="4"/>
  <c r="Z142" i="4"/>
  <c r="X142" i="4"/>
  <c r="Y142" i="4"/>
  <c r="CV142" i="1" s="1"/>
  <c r="AE72" i="4"/>
  <c r="AD72" i="4"/>
  <c r="AC72" i="4"/>
  <c r="AB72" i="4"/>
  <c r="AA72" i="4"/>
  <c r="W73" i="4"/>
  <c r="U57" i="4"/>
  <c r="R57" i="4"/>
  <c r="T57" i="4"/>
  <c r="S57" i="4"/>
  <c r="CW57" i="1"/>
  <c r="AD88" i="4"/>
  <c r="W60" i="4"/>
  <c r="W20" i="4"/>
  <c r="Y43" i="4"/>
  <c r="S88" i="4"/>
  <c r="Y23" i="4"/>
  <c r="V140" i="4"/>
  <c r="AC60" i="4"/>
  <c r="Z32" i="4"/>
  <c r="W32" i="4"/>
  <c r="V32" i="4"/>
  <c r="CX32" i="1" s="1"/>
  <c r="X32" i="3"/>
  <c r="S32" i="4" s="1"/>
  <c r="W32" i="3"/>
  <c r="R32" i="4" s="1"/>
  <c r="Z32" i="3"/>
  <c r="V32" i="3"/>
  <c r="AA32" i="4" s="1"/>
  <c r="M32" i="3"/>
  <c r="Y32" i="3"/>
  <c r="AD32" i="4" s="1"/>
  <c r="AD59" i="4"/>
  <c r="W97" i="4"/>
  <c r="CY97" i="1" s="1"/>
  <c r="Z97" i="4"/>
  <c r="Y97" i="4"/>
  <c r="X97" i="4"/>
  <c r="CZ97" i="1" s="1"/>
  <c r="V97" i="4"/>
  <c r="AC116" i="4"/>
  <c r="Y69" i="4"/>
  <c r="DF69" i="1" s="1"/>
  <c r="Y67" i="4"/>
  <c r="AC76" i="4"/>
  <c r="AB70" i="4"/>
  <c r="AE70" i="4"/>
  <c r="AD70" i="4"/>
  <c r="AC70" i="4"/>
  <c r="AA70" i="4"/>
  <c r="AA29" i="4"/>
  <c r="V62" i="4"/>
  <c r="AC31" i="4"/>
  <c r="U69" i="4"/>
  <c r="T69" i="4"/>
  <c r="S69" i="4"/>
  <c r="R69" i="4"/>
  <c r="U81" i="4"/>
  <c r="T81" i="4"/>
  <c r="S81" i="4"/>
  <c r="R81" i="4"/>
  <c r="AA115" i="4"/>
  <c r="AE115" i="4"/>
  <c r="AE28" i="4"/>
  <c r="AD28" i="4"/>
  <c r="AC28" i="4"/>
  <c r="AB28" i="4"/>
  <c r="AA28" i="4"/>
  <c r="DG28" i="1"/>
  <c r="CU75" i="1"/>
  <c r="CV69" i="1"/>
  <c r="DF47" i="1"/>
  <c r="DF110" i="1"/>
  <c r="CU61" i="1"/>
  <c r="DG35" i="1"/>
  <c r="Z147" i="4"/>
  <c r="CZ87" i="1"/>
  <c r="CZ133" i="1"/>
  <c r="U142" i="4"/>
  <c r="T142" i="4"/>
  <c r="S142" i="4"/>
  <c r="R142" i="4"/>
  <c r="V44" i="4"/>
  <c r="Z44" i="4"/>
  <c r="CX79" i="1"/>
  <c r="U26" i="4"/>
  <c r="T26" i="4"/>
  <c r="U113" i="4"/>
  <c r="Z154" i="4"/>
  <c r="W154" i="4"/>
  <c r="AE117" i="4"/>
  <c r="X15" i="4"/>
  <c r="DE15" i="1" s="1"/>
  <c r="Z15" i="4"/>
  <c r="AE80" i="4"/>
  <c r="AD80" i="4"/>
  <c r="AC80" i="4"/>
  <c r="AB80" i="4"/>
  <c r="AA80" i="4"/>
  <c r="T78" i="4"/>
  <c r="S78" i="4"/>
  <c r="R78" i="4"/>
  <c r="U78" i="4"/>
  <c r="AC129" i="4"/>
  <c r="AB129" i="4"/>
  <c r="AA129" i="4"/>
  <c r="AD129" i="4"/>
  <c r="AE129" i="4"/>
  <c r="T134" i="4"/>
  <c r="S134" i="4"/>
  <c r="R134" i="4"/>
  <c r="U134" i="4"/>
  <c r="Z48" i="4"/>
  <c r="Y48" i="4"/>
  <c r="AE28" i="3"/>
  <c r="Z89" i="4"/>
  <c r="X89" i="4"/>
  <c r="U38" i="4"/>
  <c r="O108" i="3"/>
  <c r="AE77" i="4"/>
  <c r="Q144" i="3"/>
  <c r="X17" i="4"/>
  <c r="Z17" i="4"/>
  <c r="S120" i="3"/>
  <c r="DA75" i="1"/>
  <c r="CZ61" i="1"/>
  <c r="S61" i="4"/>
  <c r="S137" i="4"/>
  <c r="AB33" i="4"/>
  <c r="T70" i="4"/>
  <c r="S70" i="4"/>
  <c r="R70" i="4"/>
  <c r="U70" i="4"/>
  <c r="X158" i="4"/>
  <c r="AD111" i="4"/>
  <c r="AD127" i="4"/>
  <c r="W39" i="4"/>
  <c r="AC58" i="4"/>
  <c r="S62" i="4"/>
  <c r="V143" i="4"/>
  <c r="R128" i="4"/>
  <c r="T150" i="4"/>
  <c r="V105" i="4"/>
  <c r="T152" i="4"/>
  <c r="AA37" i="4"/>
  <c r="T121" i="4"/>
  <c r="S135" i="4"/>
  <c r="U135" i="4"/>
  <c r="T135" i="4"/>
  <c r="R135" i="4"/>
  <c r="CW135" i="1"/>
  <c r="AE133" i="4"/>
  <c r="AD133" i="4"/>
  <c r="AC133" i="4"/>
  <c r="AB133" i="4"/>
  <c r="AA133" i="4"/>
  <c r="U103" i="4"/>
  <c r="R103" i="4"/>
  <c r="AD30" i="4"/>
  <c r="AC30" i="4"/>
  <c r="AB30" i="4"/>
  <c r="AA30" i="4"/>
  <c r="AE30" i="4"/>
  <c r="DG30" i="1"/>
  <c r="X78" i="4"/>
  <c r="S21" i="4"/>
  <c r="R123" i="4"/>
  <c r="Z144" i="4"/>
  <c r="Y144" i="4"/>
  <c r="X144" i="4"/>
  <c r="V144" i="4"/>
  <c r="CX144" i="1" s="1"/>
  <c r="W144" i="4"/>
  <c r="AB102" i="4"/>
  <c r="T60" i="4"/>
  <c r="Y75" i="4"/>
  <c r="DF75" i="1" s="1"/>
  <c r="AC123" i="4"/>
  <c r="T130" i="4"/>
  <c r="Z128" i="4"/>
  <c r="Y128" i="4"/>
  <c r="DF128" i="1" s="1"/>
  <c r="X128" i="4"/>
  <c r="W128" i="4"/>
  <c r="V128" i="4"/>
  <c r="DC128" i="1" s="1"/>
  <c r="X60" i="4"/>
  <c r="X137" i="4"/>
  <c r="CZ137" i="1" s="1"/>
  <c r="S87" i="4"/>
  <c r="AB108" i="4"/>
  <c r="S23" i="4"/>
  <c r="AD116" i="4"/>
  <c r="V82" i="4"/>
  <c r="AA137" i="4"/>
  <c r="AE122" i="4"/>
  <c r="AD122" i="4"/>
  <c r="AC122" i="4"/>
  <c r="AB122" i="4"/>
  <c r="AA122" i="4"/>
  <c r="DG122" i="1"/>
  <c r="AD76" i="4"/>
  <c r="W41" i="4"/>
  <c r="V41" i="4"/>
  <c r="Z41" i="4"/>
  <c r="X41" i="4"/>
  <c r="Y41" i="4"/>
  <c r="W62" i="4"/>
  <c r="AD105" i="4"/>
  <c r="V59" i="4"/>
  <c r="X114" i="4"/>
  <c r="CZ114" i="1" s="1"/>
  <c r="V114" i="4"/>
  <c r="Y114" i="4"/>
  <c r="Z114" i="4"/>
  <c r="W114" i="4"/>
  <c r="CT114" i="1" s="1"/>
  <c r="AD31" i="4"/>
  <c r="DA87" i="1"/>
  <c r="CZ47" i="1"/>
  <c r="CY137" i="1"/>
  <c r="AE96" i="4"/>
  <c r="R80" i="4"/>
  <c r="U80" i="4"/>
  <c r="T80" i="4"/>
  <c r="S80" i="4"/>
  <c r="Y33" i="4"/>
  <c r="DA33" i="1" s="1"/>
  <c r="X69" i="4"/>
  <c r="DE69" i="1" s="1"/>
  <c r="CW69" i="1"/>
  <c r="DA109" i="1"/>
  <c r="U33" i="4"/>
  <c r="T33" i="4"/>
  <c r="S33" i="4"/>
  <c r="R33" i="4"/>
  <c r="DA133" i="1"/>
  <c r="U84" i="4"/>
  <c r="T84" i="4"/>
  <c r="S84" i="4"/>
  <c r="R84" i="4"/>
  <c r="U125" i="4"/>
  <c r="DA126" i="1"/>
  <c r="CW115" i="1"/>
  <c r="S115" i="4"/>
  <c r="U115" i="4"/>
  <c r="U122" i="4"/>
  <c r="T122" i="4"/>
  <c r="S122" i="4"/>
  <c r="R122" i="4"/>
  <c r="U124" i="4"/>
  <c r="T124" i="4"/>
  <c r="S124" i="4"/>
  <c r="R124" i="4"/>
  <c r="U85" i="4"/>
  <c r="T85" i="4"/>
  <c r="S85" i="4"/>
  <c r="R85" i="4"/>
  <c r="AA154" i="4"/>
  <c r="AE154" i="4"/>
  <c r="AE15" i="4"/>
  <c r="AB15" i="4"/>
  <c r="U80" i="3"/>
  <c r="T94" i="4"/>
  <c r="S94" i="4"/>
  <c r="U94" i="4"/>
  <c r="R94" i="4"/>
  <c r="Z149" i="4"/>
  <c r="Y149" i="4"/>
  <c r="DA149" i="1" s="1"/>
  <c r="Z153" i="4"/>
  <c r="S68" i="4"/>
  <c r="R68" i="4"/>
  <c r="U68" i="4"/>
  <c r="T68" i="4"/>
  <c r="AA28" i="3"/>
  <c r="U96" i="4"/>
  <c r="N47" i="3"/>
  <c r="U35" i="4"/>
  <c r="T35" i="4"/>
  <c r="S35" i="4"/>
  <c r="R35" i="4"/>
  <c r="Z77" i="4"/>
  <c r="CX75" i="1"/>
  <c r="DA61" i="1"/>
  <c r="T61" i="4"/>
  <c r="T137" i="4"/>
  <c r="R91" i="4"/>
  <c r="U116" i="4"/>
  <c r="T116" i="4"/>
  <c r="S116" i="4"/>
  <c r="R116" i="4"/>
  <c r="W123" i="4"/>
  <c r="AA111" i="4"/>
  <c r="X39" i="4"/>
  <c r="R62" i="4"/>
  <c r="W143" i="4"/>
  <c r="AC98" i="4"/>
  <c r="AC62" i="4"/>
  <c r="T126" i="4"/>
  <c r="S126" i="4"/>
  <c r="R126" i="4"/>
  <c r="U126" i="4"/>
  <c r="W91" i="4"/>
  <c r="Y25" i="4"/>
  <c r="DA25" i="1" s="1"/>
  <c r="V47" i="4"/>
  <c r="DC47" i="1" s="1"/>
  <c r="AA118" i="4"/>
  <c r="AC69" i="4"/>
  <c r="S123" i="4"/>
  <c r="AA79" i="4"/>
  <c r="AD102" i="4"/>
  <c r="AA13" i="4"/>
  <c r="R158" i="4"/>
  <c r="W94" i="4"/>
  <c r="Y90" i="4"/>
  <c r="DA90" i="1" s="1"/>
  <c r="AB88" i="4"/>
  <c r="Y60" i="4"/>
  <c r="DB129" i="1"/>
  <c r="Z129" i="4"/>
  <c r="Y129" i="4"/>
  <c r="X129" i="4"/>
  <c r="V129" i="4"/>
  <c r="W129" i="4"/>
  <c r="Y20" i="4"/>
  <c r="T87" i="4"/>
  <c r="R88" i="4"/>
  <c r="AB145" i="4"/>
  <c r="AA60" i="4"/>
  <c r="AA50" i="4"/>
  <c r="AA65" i="4"/>
  <c r="W82" i="4"/>
  <c r="AB137" i="4"/>
  <c r="AE85" i="4"/>
  <c r="AD85" i="4"/>
  <c r="AC85" i="4"/>
  <c r="AB85" i="4"/>
  <c r="AA85" i="4"/>
  <c r="DG85" i="1"/>
  <c r="R102" i="4"/>
  <c r="X145" i="4"/>
  <c r="W145" i="4"/>
  <c r="V145" i="4"/>
  <c r="Y145" i="4"/>
  <c r="Z145" i="4"/>
  <c r="V110" i="4"/>
  <c r="DC110" i="1" s="1"/>
  <c r="V131" i="4"/>
  <c r="DC131" i="1" s="1"/>
  <c r="Y52" i="4"/>
  <c r="W59" i="4"/>
  <c r="T107" i="4"/>
  <c r="S107" i="4"/>
  <c r="R107" i="4"/>
  <c r="U107" i="4"/>
  <c r="CY25" i="1"/>
  <c r="U144" i="4"/>
  <c r="T144" i="4"/>
  <c r="S144" i="4"/>
  <c r="R144" i="4"/>
  <c r="CW144" i="1"/>
  <c r="AD131" i="4"/>
  <c r="Y88" i="4"/>
  <c r="CW75" i="1"/>
  <c r="DB18" i="1"/>
  <c r="CU133" i="1"/>
  <c r="CW11" i="1"/>
  <c r="DF109" i="1"/>
  <c r="Z27" i="4"/>
  <c r="T157" i="4"/>
  <c r="S157" i="4"/>
  <c r="R157" i="4"/>
  <c r="U157" i="4"/>
  <c r="Z42" i="4"/>
  <c r="X104" i="4"/>
  <c r="DE104" i="1" s="1"/>
  <c r="Z104" i="4"/>
  <c r="AE74" i="4"/>
  <c r="AD74" i="4"/>
  <c r="AC74" i="4"/>
  <c r="AB74" i="4"/>
  <c r="AA74" i="4"/>
  <c r="O62" i="3"/>
  <c r="CX69" i="1"/>
  <c r="T80" i="3"/>
  <c r="DC90" i="1"/>
  <c r="U18" i="4"/>
  <c r="Z83" i="4"/>
  <c r="O59" i="3"/>
  <c r="R10" i="4"/>
  <c r="U10" i="4"/>
  <c r="T10" i="4"/>
  <c r="S10" i="4"/>
  <c r="U97" i="4"/>
  <c r="T97" i="4"/>
  <c r="S97" i="4"/>
  <c r="R97" i="4"/>
  <c r="U52" i="4"/>
  <c r="T52" i="4"/>
  <c r="S52" i="4"/>
  <c r="R52" i="4"/>
  <c r="Z36" i="4"/>
  <c r="AB28" i="3"/>
  <c r="DA110" i="1"/>
  <c r="AE63" i="4"/>
  <c r="O31" i="3"/>
  <c r="CY68" i="1"/>
  <c r="DE13" i="1"/>
  <c r="Z155" i="4"/>
  <c r="AC99" i="4"/>
  <c r="AE99" i="4"/>
  <c r="AD51" i="4"/>
  <c r="AE51" i="4"/>
  <c r="AA47" i="3"/>
  <c r="S144" i="3"/>
  <c r="Z103" i="4"/>
  <c r="Q120" i="3"/>
  <c r="CY75" i="1"/>
  <c r="AE52" i="4"/>
  <c r="AD52" i="4"/>
  <c r="AC52" i="4"/>
  <c r="AB52" i="4"/>
  <c r="AA52" i="4"/>
  <c r="AE25" i="4"/>
  <c r="AD25" i="4"/>
  <c r="AC25" i="4"/>
  <c r="AB25" i="4"/>
  <c r="AA25" i="4"/>
  <c r="Y39" i="4"/>
  <c r="U66" i="4"/>
  <c r="T66" i="4"/>
  <c r="S66" i="4"/>
  <c r="R66" i="4"/>
  <c r="CW66" i="1"/>
  <c r="AB126" i="4"/>
  <c r="AA126" i="4"/>
  <c r="AE126" i="4"/>
  <c r="AC126" i="4"/>
  <c r="AD126" i="4"/>
  <c r="T62" i="4"/>
  <c r="X143" i="4"/>
  <c r="AD98" i="4"/>
  <c r="AC131" i="4"/>
  <c r="T143" i="4"/>
  <c r="V126" i="4"/>
  <c r="DC126" i="1" s="1"/>
  <c r="S146" i="4"/>
  <c r="R146" i="4"/>
  <c r="T146" i="4"/>
  <c r="U146" i="4"/>
  <c r="AD62" i="4"/>
  <c r="X25" i="4"/>
  <c r="CZ25" i="1" s="1"/>
  <c r="W47" i="4"/>
  <c r="CT47" i="1" s="1"/>
  <c r="AD69" i="4"/>
  <c r="AB79" i="4"/>
  <c r="AD75" i="4"/>
  <c r="T65" i="4"/>
  <c r="S90" i="4"/>
  <c r="AD123" i="4"/>
  <c r="S67" i="4"/>
  <c r="X87" i="4"/>
  <c r="AB82" i="4"/>
  <c r="W37" i="4"/>
  <c r="X79" i="4"/>
  <c r="V20" i="4"/>
  <c r="CX20" i="1" s="1"/>
  <c r="AB121" i="4"/>
  <c r="Z136" i="4"/>
  <c r="Y136" i="4"/>
  <c r="V136" i="4"/>
  <c r="X136" i="4"/>
  <c r="CU136" i="1" s="1"/>
  <c r="W136" i="4"/>
  <c r="V133" i="4"/>
  <c r="DC133" i="1" s="1"/>
  <c r="X82" i="4"/>
  <c r="CU82" i="1" s="1"/>
  <c r="AC137" i="4"/>
  <c r="AA66" i="4"/>
  <c r="W110" i="4"/>
  <c r="AD94" i="4"/>
  <c r="W131" i="4"/>
  <c r="V52" i="4"/>
  <c r="DC52" i="1" s="1"/>
  <c r="Y134" i="4"/>
  <c r="X59" i="4"/>
  <c r="CZ59" i="1" s="1"/>
  <c r="U117" i="4"/>
  <c r="DB100" i="1"/>
  <c r="CX87" i="1"/>
  <c r="U19" i="4"/>
  <c r="S19" i="4"/>
  <c r="T19" i="4"/>
  <c r="R19" i="4"/>
  <c r="CX152" i="1"/>
  <c r="U145" i="4"/>
  <c r="T145" i="4"/>
  <c r="S145" i="4"/>
  <c r="R145" i="4"/>
  <c r="Y95" i="4"/>
  <c r="Z95" i="4"/>
  <c r="DD118" i="1"/>
  <c r="U74" i="4"/>
  <c r="T74" i="4"/>
  <c r="S74" i="4"/>
  <c r="R74" i="4"/>
  <c r="U14" i="4"/>
  <c r="T14" i="4"/>
  <c r="S14" i="4"/>
  <c r="R14" i="4"/>
  <c r="U41" i="4"/>
  <c r="T41" i="4"/>
  <c r="S41" i="4"/>
  <c r="R41" i="4"/>
  <c r="CX150" i="1"/>
  <c r="DA129" i="1"/>
  <c r="R72" i="4"/>
  <c r="U72" i="4"/>
  <c r="T72" i="4"/>
  <c r="S72" i="4"/>
  <c r="DA47" i="1"/>
  <c r="Z99" i="4"/>
  <c r="R83" i="4"/>
  <c r="U83" i="4"/>
  <c r="Z64" i="4"/>
  <c r="AC28" i="3"/>
  <c r="U156" i="4"/>
  <c r="CW22" i="1"/>
  <c r="U22" i="4"/>
  <c r="S22" i="4"/>
  <c r="AE155" i="4"/>
  <c r="W12" i="4"/>
  <c r="DD12" i="1" s="1"/>
  <c r="Z12" i="4"/>
  <c r="Z51" i="4"/>
  <c r="Y51" i="4"/>
  <c r="W51" i="4"/>
  <c r="AB16" i="4"/>
  <c r="AA16" i="4"/>
  <c r="AE16" i="4"/>
  <c r="AD16" i="4"/>
  <c r="AC16" i="4"/>
  <c r="AB47" i="3"/>
  <c r="T144" i="3"/>
  <c r="CZ75" i="1"/>
  <c r="Z135" i="4"/>
  <c r="Y135" i="4"/>
  <c r="X135" i="4"/>
  <c r="CZ135" i="1" s="1"/>
  <c r="W135" i="4"/>
  <c r="V135" i="4"/>
  <c r="W31" i="4"/>
  <c r="AB131" i="4"/>
  <c r="S143" i="4"/>
  <c r="W126" i="4"/>
  <c r="CY126" i="1" s="1"/>
  <c r="AA10" i="4"/>
  <c r="Y152" i="4"/>
  <c r="CV152" i="1" s="1"/>
  <c r="U93" i="4"/>
  <c r="AC57" i="4"/>
  <c r="AE57" i="4"/>
  <c r="AD57" i="4"/>
  <c r="AB57" i="4"/>
  <c r="AA57" i="4"/>
  <c r="DG57" i="1"/>
  <c r="X47" i="4"/>
  <c r="CU47" i="1" s="1"/>
  <c r="AC79" i="4"/>
  <c r="V157" i="4"/>
  <c r="DC157" i="1" s="1"/>
  <c r="AA87" i="4"/>
  <c r="W87" i="4"/>
  <c r="DD87" i="1" s="1"/>
  <c r="AC82" i="4"/>
  <c r="X37" i="4"/>
  <c r="Y79" i="4"/>
  <c r="W61" i="4"/>
  <c r="X20" i="4"/>
  <c r="CU20" i="1" s="1"/>
  <c r="Z50" i="4"/>
  <c r="Y50" i="4"/>
  <c r="DF50" i="1" s="1"/>
  <c r="X50" i="4"/>
  <c r="W50" i="4"/>
  <c r="V50" i="4"/>
  <c r="DC50" i="1" s="1"/>
  <c r="DB50" i="1"/>
  <c r="T16" i="4"/>
  <c r="S16" i="4"/>
  <c r="R16" i="4"/>
  <c r="U16" i="4"/>
  <c r="AC19" i="4"/>
  <c r="AA19" i="4"/>
  <c r="AD19" i="4"/>
  <c r="AE19" i="4"/>
  <c r="AB19" i="4"/>
  <c r="X29" i="4"/>
  <c r="W133" i="4"/>
  <c r="CY133" i="1" s="1"/>
  <c r="AB39" i="4"/>
  <c r="W69" i="4"/>
  <c r="DD69" i="1" s="1"/>
  <c r="AD137" i="4"/>
  <c r="CW50" i="1"/>
  <c r="R50" i="4"/>
  <c r="U50" i="4"/>
  <c r="S50" i="4"/>
  <c r="T50" i="4"/>
  <c r="X110" i="4"/>
  <c r="CZ110" i="1" s="1"/>
  <c r="X131" i="4"/>
  <c r="CZ131" i="1" s="1"/>
  <c r="W52" i="4"/>
  <c r="CZ129" i="1"/>
  <c r="DE129" i="1"/>
  <c r="CU129" i="1"/>
  <c r="CX35" i="1"/>
  <c r="DC35" i="1"/>
  <c r="CZ145" i="1"/>
  <c r="CU145" i="1"/>
  <c r="DE145" i="1"/>
  <c r="CY158" i="1"/>
  <c r="CT158" i="1"/>
  <c r="DD158" i="1"/>
  <c r="CY129" i="1"/>
  <c r="DD129" i="1"/>
  <c r="CT129" i="1"/>
  <c r="DA91" i="1"/>
  <c r="CV91" i="1"/>
  <c r="DF91" i="1"/>
  <c r="CY35" i="1"/>
  <c r="DD35" i="1"/>
  <c r="CT35" i="1"/>
  <c r="DA35" i="1"/>
  <c r="CV35" i="1"/>
  <c r="DF35" i="1"/>
  <c r="CX145" i="1"/>
  <c r="DC145" i="1"/>
  <c r="S107" i="3"/>
  <c r="Q107" i="3"/>
  <c r="U107" i="3"/>
  <c r="R107" i="3"/>
  <c r="T107" i="3"/>
  <c r="L107" i="3"/>
  <c r="O107" i="3" s="1"/>
  <c r="CW107" i="1"/>
  <c r="Z104" i="3"/>
  <c r="X104" i="3"/>
  <c r="W104" i="3"/>
  <c r="Y104" i="3"/>
  <c r="V104" i="3"/>
  <c r="AA104" i="4" s="1"/>
  <c r="M104" i="3"/>
  <c r="AB14" i="3"/>
  <c r="AA14" i="3"/>
  <c r="AC14" i="3"/>
  <c r="N14" i="3"/>
  <c r="AE14" i="3"/>
  <c r="AD14" i="3"/>
  <c r="DF90" i="1"/>
  <c r="DD110" i="1"/>
  <c r="DG14" i="1"/>
  <c r="DC61" i="1"/>
  <c r="CY118" i="1"/>
  <c r="DF79" i="1"/>
  <c r="S19" i="3"/>
  <c r="R19" i="3"/>
  <c r="Q19" i="3"/>
  <c r="T19" i="3"/>
  <c r="U19" i="3"/>
  <c r="L19" i="3"/>
  <c r="O19" i="3" s="1"/>
  <c r="CW19" i="1"/>
  <c r="U145" i="3"/>
  <c r="T145" i="3"/>
  <c r="S145" i="3"/>
  <c r="R145" i="3"/>
  <c r="Q145" i="3"/>
  <c r="L145" i="3"/>
  <c r="O145" i="3" s="1"/>
  <c r="O146" i="3"/>
  <c r="S85" i="3"/>
  <c r="U85" i="3"/>
  <c r="T85" i="3"/>
  <c r="Q85" i="3"/>
  <c r="R85" i="3"/>
  <c r="L85" i="3"/>
  <c r="O85" i="3" s="1"/>
  <c r="CW85" i="1"/>
  <c r="O37" i="3"/>
  <c r="AA154" i="3"/>
  <c r="AE154" i="3"/>
  <c r="AD154" i="3"/>
  <c r="AC154" i="3"/>
  <c r="AB154" i="3"/>
  <c r="N154" i="3"/>
  <c r="O102" i="3"/>
  <c r="O47" i="3"/>
  <c r="O70" i="3"/>
  <c r="O65" i="3"/>
  <c r="AD139" i="3"/>
  <c r="AE139" i="3"/>
  <c r="AB139" i="3"/>
  <c r="AA139" i="3"/>
  <c r="AC139" i="3"/>
  <c r="N139" i="3"/>
  <c r="DG139" i="1"/>
  <c r="AE150" i="3"/>
  <c r="AD150" i="3"/>
  <c r="AC150" i="3"/>
  <c r="AB150" i="3"/>
  <c r="AA150" i="3"/>
  <c r="N150" i="3"/>
  <c r="DG150" i="1"/>
  <c r="DE150" i="1"/>
  <c r="DC150" i="1"/>
  <c r="DD150" i="1"/>
  <c r="DF150" i="1"/>
  <c r="U75" i="3"/>
  <c r="T75" i="3"/>
  <c r="S75" i="3"/>
  <c r="R75" i="3"/>
  <c r="Q75" i="3"/>
  <c r="L75" i="3"/>
  <c r="O75" i="3" s="1"/>
  <c r="Q69" i="3"/>
  <c r="U69" i="3"/>
  <c r="T69" i="3"/>
  <c r="R69" i="3"/>
  <c r="S69" i="3"/>
  <c r="L69" i="3"/>
  <c r="O69" i="3" s="1"/>
  <c r="Y100" i="3"/>
  <c r="T100" i="4" s="1"/>
  <c r="X100" i="3"/>
  <c r="S100" i="4" s="1"/>
  <c r="W100" i="3"/>
  <c r="R100" i="4" s="1"/>
  <c r="V100" i="3"/>
  <c r="AA100" i="4" s="1"/>
  <c r="Z100" i="3"/>
  <c r="M100" i="3"/>
  <c r="AE63" i="3"/>
  <c r="AD63" i="3"/>
  <c r="AC63" i="3"/>
  <c r="AB63" i="3"/>
  <c r="AA63" i="3"/>
  <c r="N63" i="3"/>
  <c r="O13" i="3"/>
  <c r="V12" i="3"/>
  <c r="AA12" i="4" s="1"/>
  <c r="Z12" i="3"/>
  <c r="W12" i="3"/>
  <c r="Y12" i="3"/>
  <c r="X12" i="3"/>
  <c r="X12" i="4" s="1"/>
  <c r="M12" i="3"/>
  <c r="Z51" i="3"/>
  <c r="Y51" i="3"/>
  <c r="T51" i="4" s="1"/>
  <c r="X51" i="3"/>
  <c r="S51" i="4" s="1"/>
  <c r="W51" i="3"/>
  <c r="R51" i="4" s="1"/>
  <c r="V51" i="3"/>
  <c r="AA51" i="4" s="1"/>
  <c r="M51" i="3"/>
  <c r="DB51" i="1"/>
  <c r="AE16" i="3"/>
  <c r="AD16" i="3"/>
  <c r="AA16" i="3"/>
  <c r="AC16" i="3"/>
  <c r="AB16" i="3"/>
  <c r="N16" i="3"/>
  <c r="DG16" i="1"/>
  <c r="Z24" i="3"/>
  <c r="Y24" i="3"/>
  <c r="X24" i="3"/>
  <c r="X24" i="4" s="1"/>
  <c r="W24" i="3"/>
  <c r="V24" i="3"/>
  <c r="AA24" i="4" s="1"/>
  <c r="M24" i="3"/>
  <c r="V86" i="3"/>
  <c r="AA86" i="4" s="1"/>
  <c r="Y86" i="3"/>
  <c r="AD86" i="4" s="1"/>
  <c r="Z86" i="3"/>
  <c r="W86" i="3"/>
  <c r="AB86" i="4" s="1"/>
  <c r="X86" i="3"/>
  <c r="AC86" i="4" s="1"/>
  <c r="M86" i="3"/>
  <c r="DB86" i="1"/>
  <c r="Y148" i="3"/>
  <c r="AD148" i="4" s="1"/>
  <c r="X148" i="3"/>
  <c r="AC148" i="4" s="1"/>
  <c r="W148" i="3"/>
  <c r="AB148" i="4" s="1"/>
  <c r="V148" i="3"/>
  <c r="AA148" i="4" s="1"/>
  <c r="Z148" i="3"/>
  <c r="M148" i="3"/>
  <c r="DB148" i="1"/>
  <c r="Y125" i="3"/>
  <c r="T125" i="4" s="1"/>
  <c r="X125" i="3"/>
  <c r="AC125" i="4" s="1"/>
  <c r="V125" i="3"/>
  <c r="AA125" i="4" s="1"/>
  <c r="Z125" i="3"/>
  <c r="W125" i="3"/>
  <c r="W125" i="4" s="1"/>
  <c r="M125" i="3"/>
  <c r="DB125" i="1"/>
  <c r="O128" i="3"/>
  <c r="V115" i="3"/>
  <c r="V115" i="4" s="1"/>
  <c r="Y115" i="3"/>
  <c r="AD115" i="4" s="1"/>
  <c r="X115" i="3"/>
  <c r="X115" i="4" s="1"/>
  <c r="DE115" i="1" s="1"/>
  <c r="W115" i="3"/>
  <c r="R115" i="4" s="1"/>
  <c r="Z115" i="3"/>
  <c r="M115" i="3"/>
  <c r="T141" i="3"/>
  <c r="R141" i="3"/>
  <c r="Q141" i="3"/>
  <c r="S141" i="3"/>
  <c r="U141" i="3"/>
  <c r="L141" i="3"/>
  <c r="CW141" i="1"/>
  <c r="AC74" i="3"/>
  <c r="AB74" i="3"/>
  <c r="AA74" i="3"/>
  <c r="AE74" i="3"/>
  <c r="AD74" i="3"/>
  <c r="N74" i="3"/>
  <c r="DG74" i="1"/>
  <c r="CV107" i="1"/>
  <c r="DE91" i="1"/>
  <c r="DG125" i="1"/>
  <c r="AC112" i="3"/>
  <c r="AE112" i="3"/>
  <c r="AD112" i="3"/>
  <c r="AA112" i="3"/>
  <c r="AB112" i="3"/>
  <c r="N112" i="3"/>
  <c r="DG112" i="1"/>
  <c r="T89" i="3"/>
  <c r="R89" i="3"/>
  <c r="U89" i="3"/>
  <c r="S89" i="3"/>
  <c r="Q89" i="3"/>
  <c r="L89" i="3"/>
  <c r="CW89" i="1"/>
  <c r="AA11" i="3"/>
  <c r="AE11" i="3"/>
  <c r="AB11" i="3"/>
  <c r="AD11" i="3"/>
  <c r="AC11" i="3"/>
  <c r="N11" i="3"/>
  <c r="DG11" i="1"/>
  <c r="Y95" i="3"/>
  <c r="AD95" i="4" s="1"/>
  <c r="W95" i="3"/>
  <c r="AB95" i="4" s="1"/>
  <c r="V95" i="3"/>
  <c r="AA95" i="4" s="1"/>
  <c r="Z95" i="3"/>
  <c r="X95" i="3"/>
  <c r="AC95" i="4" s="1"/>
  <c r="M95" i="3"/>
  <c r="DB95" i="1"/>
  <c r="O133" i="3"/>
  <c r="U74" i="3"/>
  <c r="T74" i="3"/>
  <c r="S74" i="3"/>
  <c r="R74" i="3"/>
  <c r="Q74" i="3"/>
  <c r="L74" i="3"/>
  <c r="O126" i="3"/>
  <c r="V117" i="3"/>
  <c r="V117" i="4" s="1"/>
  <c r="Z117" i="3"/>
  <c r="Y117" i="3"/>
  <c r="Y117" i="4" s="1"/>
  <c r="W117" i="3"/>
  <c r="W117" i="4" s="1"/>
  <c r="X117" i="3"/>
  <c r="X117" i="4" s="1"/>
  <c r="M117" i="3"/>
  <c r="DB117" i="1"/>
  <c r="O50" i="3"/>
  <c r="V138" i="3"/>
  <c r="V138" i="4" s="1"/>
  <c r="Z138" i="3"/>
  <c r="Y138" i="3"/>
  <c r="T138" i="4" s="1"/>
  <c r="W138" i="3"/>
  <c r="R138" i="4" s="1"/>
  <c r="X138" i="3"/>
  <c r="S138" i="4" s="1"/>
  <c r="M138" i="3"/>
  <c r="X34" i="3"/>
  <c r="W34" i="3"/>
  <c r="V34" i="3"/>
  <c r="AA34" i="4" s="1"/>
  <c r="Y34" i="3"/>
  <c r="Z34" i="3"/>
  <c r="M34" i="3"/>
  <c r="S95" i="3"/>
  <c r="Q95" i="3"/>
  <c r="T95" i="3"/>
  <c r="U95" i="3"/>
  <c r="R95" i="3"/>
  <c r="L95" i="3"/>
  <c r="O95" i="3" s="1"/>
  <c r="U83" i="3"/>
  <c r="R83" i="3"/>
  <c r="Q83" i="3"/>
  <c r="T83" i="3"/>
  <c r="S83" i="3"/>
  <c r="L83" i="3"/>
  <c r="AD147" i="3"/>
  <c r="AC147" i="3"/>
  <c r="AB147" i="3"/>
  <c r="AA147" i="3"/>
  <c r="AE147" i="3"/>
  <c r="N147" i="3"/>
  <c r="V139" i="3"/>
  <c r="AA139" i="4" s="1"/>
  <c r="Z139" i="3"/>
  <c r="Y139" i="3"/>
  <c r="T139" i="4" s="1"/>
  <c r="X139" i="3"/>
  <c r="S139" i="4" s="1"/>
  <c r="W139" i="3"/>
  <c r="R139" i="4" s="1"/>
  <c r="M139" i="3"/>
  <c r="DB139" i="1"/>
  <c r="AE53" i="3"/>
  <c r="AD53" i="3"/>
  <c r="AC53" i="3"/>
  <c r="AB53" i="3"/>
  <c r="AA53" i="3"/>
  <c r="N53" i="3"/>
  <c r="DG53" i="1"/>
  <c r="R81" i="3"/>
  <c r="U81" i="3"/>
  <c r="S81" i="3"/>
  <c r="T81" i="3"/>
  <c r="Q81" i="3"/>
  <c r="L81" i="3"/>
  <c r="O81" i="3" s="1"/>
  <c r="CW81" i="1"/>
  <c r="X18" i="3"/>
  <c r="AC18" i="4" s="1"/>
  <c r="W18" i="3"/>
  <c r="AB18" i="4" s="1"/>
  <c r="V18" i="3"/>
  <c r="AA18" i="4" s="1"/>
  <c r="Y18" i="3"/>
  <c r="AD18" i="4" s="1"/>
  <c r="Z18" i="3"/>
  <c r="M18" i="3"/>
  <c r="AD155" i="3"/>
  <c r="AC155" i="3"/>
  <c r="AB155" i="3"/>
  <c r="AA155" i="3"/>
  <c r="AE155" i="3"/>
  <c r="N155" i="3"/>
  <c r="O150" i="3"/>
  <c r="AD77" i="3"/>
  <c r="AC77" i="3"/>
  <c r="AB77" i="3"/>
  <c r="AE77" i="3"/>
  <c r="AA77" i="3"/>
  <c r="N77" i="3"/>
  <c r="DG77" i="1"/>
  <c r="O144" i="3"/>
  <c r="O98" i="3"/>
  <c r="Z22" i="3"/>
  <c r="Y22" i="3"/>
  <c r="AD22" i="4" s="1"/>
  <c r="X22" i="3"/>
  <c r="AC22" i="4" s="1"/>
  <c r="W22" i="3"/>
  <c r="AB22" i="4" s="1"/>
  <c r="V22" i="3"/>
  <c r="AA22" i="4" s="1"/>
  <c r="M22" i="3"/>
  <c r="O120" i="3"/>
  <c r="O152" i="3"/>
  <c r="Z112" i="3"/>
  <c r="X112" i="3"/>
  <c r="S112" i="4" s="1"/>
  <c r="Y112" i="3"/>
  <c r="T112" i="4" s="1"/>
  <c r="V112" i="3"/>
  <c r="V112" i="4" s="1"/>
  <c r="W112" i="3"/>
  <c r="R112" i="4" s="1"/>
  <c r="M112" i="3"/>
  <c r="U153" i="3"/>
  <c r="T153" i="3"/>
  <c r="S153" i="3"/>
  <c r="R153" i="3"/>
  <c r="Q153" i="3"/>
  <c r="L153" i="3"/>
  <c r="AD96" i="3"/>
  <c r="AB96" i="3"/>
  <c r="AE96" i="3"/>
  <c r="AC96" i="3"/>
  <c r="AA96" i="3"/>
  <c r="N96" i="3"/>
  <c r="Y156" i="3"/>
  <c r="AD156" i="4" s="1"/>
  <c r="X156" i="3"/>
  <c r="AC156" i="4" s="1"/>
  <c r="W156" i="3"/>
  <c r="AB156" i="4" s="1"/>
  <c r="V156" i="3"/>
  <c r="AA156" i="4" s="1"/>
  <c r="Z156" i="3"/>
  <c r="M156" i="3"/>
  <c r="U77" i="3"/>
  <c r="T77" i="3"/>
  <c r="R77" i="3"/>
  <c r="Q77" i="3"/>
  <c r="S77" i="3"/>
  <c r="L77" i="3"/>
  <c r="CW77" i="1"/>
  <c r="Q45" i="3"/>
  <c r="T45" i="3"/>
  <c r="R45" i="3"/>
  <c r="L45" i="3"/>
  <c r="U45" i="3"/>
  <c r="S45" i="3"/>
  <c r="CW45" i="1"/>
  <c r="DB104" i="1"/>
  <c r="DF158" i="1"/>
  <c r="CT107" i="1"/>
  <c r="DE116" i="1"/>
  <c r="DF131" i="1"/>
  <c r="CT152" i="1"/>
  <c r="CX90" i="1"/>
  <c r="R73" i="3"/>
  <c r="Q73" i="3"/>
  <c r="U73" i="3"/>
  <c r="S73" i="3"/>
  <c r="T73" i="3"/>
  <c r="L73" i="3"/>
  <c r="O73" i="3" s="1"/>
  <c r="CW73" i="1"/>
  <c r="S154" i="3"/>
  <c r="R154" i="3"/>
  <c r="Q154" i="3"/>
  <c r="U154" i="3"/>
  <c r="T154" i="3"/>
  <c r="L154" i="3"/>
  <c r="R111" i="3"/>
  <c r="U111" i="3"/>
  <c r="T111" i="3"/>
  <c r="Q111" i="3"/>
  <c r="S111" i="3"/>
  <c r="L111" i="3"/>
  <c r="O111" i="3" s="1"/>
  <c r="CW111" i="1"/>
  <c r="T46" i="3"/>
  <c r="S46" i="3"/>
  <c r="R46" i="3"/>
  <c r="Q46" i="3"/>
  <c r="U46" i="3"/>
  <c r="L46" i="3"/>
  <c r="S11" i="3"/>
  <c r="R11" i="3"/>
  <c r="Q11" i="3"/>
  <c r="T11" i="3"/>
  <c r="L11" i="3"/>
  <c r="O11" i="3" s="1"/>
  <c r="U11" i="3"/>
  <c r="AA35" i="3"/>
  <c r="AD35" i="3"/>
  <c r="AB35" i="3"/>
  <c r="AE35" i="3"/>
  <c r="AC35" i="3"/>
  <c r="N35" i="3"/>
  <c r="AA117" i="3"/>
  <c r="AB117" i="3"/>
  <c r="AD117" i="3"/>
  <c r="AC117" i="3"/>
  <c r="AE117" i="3"/>
  <c r="N117" i="3"/>
  <c r="DG117" i="1"/>
  <c r="AA138" i="3"/>
  <c r="AD138" i="3"/>
  <c r="AC138" i="3"/>
  <c r="AE138" i="3"/>
  <c r="AB138" i="3"/>
  <c r="N138" i="3"/>
  <c r="DG138" i="1"/>
  <c r="AB90" i="3"/>
  <c r="AE90" i="3"/>
  <c r="AC90" i="3"/>
  <c r="AA90" i="3"/>
  <c r="AD90" i="3"/>
  <c r="N90" i="3"/>
  <c r="O90" i="3" s="1"/>
  <c r="DG90" i="1"/>
  <c r="Q148" i="3"/>
  <c r="U148" i="3"/>
  <c r="T148" i="3"/>
  <c r="S148" i="3"/>
  <c r="R148" i="3"/>
  <c r="L148" i="3"/>
  <c r="CW148" i="1"/>
  <c r="T30" i="3"/>
  <c r="S30" i="3"/>
  <c r="R30" i="3"/>
  <c r="Q30" i="3"/>
  <c r="U30" i="3"/>
  <c r="L30" i="3"/>
  <c r="O30" i="3" s="1"/>
  <c r="T44" i="3"/>
  <c r="S44" i="3"/>
  <c r="Q44" i="3"/>
  <c r="U44" i="3"/>
  <c r="R44" i="3"/>
  <c r="L44" i="3"/>
  <c r="CW44" i="1"/>
  <c r="AE56" i="3"/>
  <c r="AD56" i="3"/>
  <c r="AC56" i="3"/>
  <c r="AA56" i="3"/>
  <c r="AB56" i="3"/>
  <c r="N56" i="3"/>
  <c r="AE48" i="3"/>
  <c r="AD48" i="3"/>
  <c r="AC48" i="3"/>
  <c r="AA48" i="3"/>
  <c r="AB48" i="3"/>
  <c r="N48" i="3"/>
  <c r="Y53" i="3"/>
  <c r="T53" i="4" s="1"/>
  <c r="X53" i="3"/>
  <c r="S53" i="4" s="1"/>
  <c r="W53" i="3"/>
  <c r="R53" i="4" s="1"/>
  <c r="V53" i="3"/>
  <c r="V53" i="4" s="1"/>
  <c r="Z53" i="3"/>
  <c r="M53" i="3"/>
  <c r="O53" i="3" s="1"/>
  <c r="DB53" i="1"/>
  <c r="AD68" i="3"/>
  <c r="AC68" i="3"/>
  <c r="AB68" i="3"/>
  <c r="AA68" i="3"/>
  <c r="AE68" i="3"/>
  <c r="N68" i="3"/>
  <c r="DG68" i="1"/>
  <c r="Z38" i="3"/>
  <c r="Y38" i="3"/>
  <c r="AD38" i="4" s="1"/>
  <c r="W38" i="3"/>
  <c r="AB38" i="4" s="1"/>
  <c r="X38" i="3"/>
  <c r="AC38" i="4" s="1"/>
  <c r="V38" i="3"/>
  <c r="AA38" i="4" s="1"/>
  <c r="M38" i="3"/>
  <c r="AE55" i="3"/>
  <c r="AD55" i="3"/>
  <c r="AC55" i="3"/>
  <c r="AB55" i="3"/>
  <c r="AA55" i="3"/>
  <c r="N55" i="3"/>
  <c r="DG55" i="1"/>
  <c r="O127" i="3"/>
  <c r="AA67" i="3"/>
  <c r="AE67" i="3"/>
  <c r="AD67" i="3"/>
  <c r="AB67" i="3"/>
  <c r="AC67" i="3"/>
  <c r="N67" i="3"/>
  <c r="DG67" i="1"/>
  <c r="O88" i="3"/>
  <c r="V77" i="3"/>
  <c r="AA77" i="4" s="1"/>
  <c r="X77" i="3"/>
  <c r="AC77" i="4" s="1"/>
  <c r="Z77" i="3"/>
  <c r="Y77" i="3"/>
  <c r="AD77" i="4" s="1"/>
  <c r="W77" i="3"/>
  <c r="AB77" i="4" s="1"/>
  <c r="M77" i="3"/>
  <c r="DB77" i="1"/>
  <c r="Z17" i="3"/>
  <c r="Y17" i="3"/>
  <c r="V17" i="3"/>
  <c r="AA17" i="4" s="1"/>
  <c r="X17" i="3"/>
  <c r="W17" i="3"/>
  <c r="W17" i="4" s="1"/>
  <c r="M17" i="3"/>
  <c r="V96" i="3"/>
  <c r="AA96" i="4" s="1"/>
  <c r="Z96" i="3"/>
  <c r="Y96" i="3"/>
  <c r="T96" i="4" s="1"/>
  <c r="W96" i="3"/>
  <c r="AB96" i="4" s="1"/>
  <c r="X96" i="3"/>
  <c r="S96" i="4" s="1"/>
  <c r="M96" i="3"/>
  <c r="DB96" i="1"/>
  <c r="CZ150" i="1"/>
  <c r="CU150" i="1"/>
  <c r="Z46" i="3"/>
  <c r="Y46" i="3"/>
  <c r="AD46" i="4" s="1"/>
  <c r="X46" i="3"/>
  <c r="AC46" i="4" s="1"/>
  <c r="W46" i="3"/>
  <c r="AB46" i="4" s="1"/>
  <c r="V46" i="3"/>
  <c r="AA46" i="4" s="1"/>
  <c r="M46" i="3"/>
  <c r="O139" i="3"/>
  <c r="X113" i="3"/>
  <c r="AC113" i="4" s="1"/>
  <c r="V113" i="3"/>
  <c r="AA113" i="4" s="1"/>
  <c r="Z113" i="3"/>
  <c r="W113" i="3"/>
  <c r="AB113" i="4" s="1"/>
  <c r="Y113" i="3"/>
  <c r="AD113" i="4" s="1"/>
  <c r="M113" i="3"/>
  <c r="DB113" i="1"/>
  <c r="AA125" i="3"/>
  <c r="AD125" i="3"/>
  <c r="AB125" i="3"/>
  <c r="AC125" i="3"/>
  <c r="AE125" i="3"/>
  <c r="N125" i="3"/>
  <c r="AE153" i="3"/>
  <c r="AD153" i="3"/>
  <c r="AC153" i="3"/>
  <c r="AB153" i="3"/>
  <c r="AA153" i="3"/>
  <c r="N153" i="3"/>
  <c r="DG153" i="1"/>
  <c r="DD137" i="1"/>
  <c r="DD28" i="1"/>
  <c r="CT110" i="1"/>
  <c r="DF152" i="1"/>
  <c r="CV158" i="1"/>
  <c r="CT137" i="1"/>
  <c r="CT62" i="1"/>
  <c r="T118" i="3"/>
  <c r="S118" i="3"/>
  <c r="U118" i="3"/>
  <c r="Q118" i="3"/>
  <c r="R118" i="3"/>
  <c r="L118" i="3"/>
  <c r="O118" i="3" s="1"/>
  <c r="Q140" i="3"/>
  <c r="U140" i="3"/>
  <c r="T140" i="3"/>
  <c r="S140" i="3"/>
  <c r="R140" i="3"/>
  <c r="L140" i="3"/>
  <c r="O140" i="3" s="1"/>
  <c r="CW140" i="1"/>
  <c r="X26" i="3"/>
  <c r="AC26" i="4" s="1"/>
  <c r="W26" i="3"/>
  <c r="AB26" i="4" s="1"/>
  <c r="V26" i="3"/>
  <c r="V26" i="4" s="1"/>
  <c r="Y26" i="3"/>
  <c r="AD26" i="4" s="1"/>
  <c r="Z26" i="3"/>
  <c r="M26" i="3"/>
  <c r="O16" i="3"/>
  <c r="O56" i="3"/>
  <c r="DA150" i="1"/>
  <c r="CV150" i="1"/>
  <c r="O58" i="3"/>
  <c r="O25" i="3"/>
  <c r="AB80" i="3"/>
  <c r="AE80" i="3"/>
  <c r="AD80" i="3"/>
  <c r="AC80" i="3"/>
  <c r="AA80" i="3"/>
  <c r="N80" i="3"/>
  <c r="O80" i="3" s="1"/>
  <c r="DG80" i="1"/>
  <c r="O60" i="3"/>
  <c r="Q78" i="3"/>
  <c r="S78" i="3"/>
  <c r="U78" i="3"/>
  <c r="T78" i="3"/>
  <c r="R78" i="3"/>
  <c r="L78" i="3"/>
  <c r="O78" i="3" s="1"/>
  <c r="AE129" i="3"/>
  <c r="AC129" i="3"/>
  <c r="AB129" i="3"/>
  <c r="AA129" i="3"/>
  <c r="AD129" i="3"/>
  <c r="N129" i="3"/>
  <c r="O129" i="3" s="1"/>
  <c r="T134" i="3"/>
  <c r="S134" i="3"/>
  <c r="Q134" i="3"/>
  <c r="U134" i="3"/>
  <c r="R134" i="3"/>
  <c r="L134" i="3"/>
  <c r="CW134" i="1"/>
  <c r="Z48" i="3"/>
  <c r="Y48" i="3"/>
  <c r="T48" i="4" s="1"/>
  <c r="X48" i="3"/>
  <c r="S48" i="4" s="1"/>
  <c r="W48" i="3"/>
  <c r="R48" i="4" s="1"/>
  <c r="V48" i="3"/>
  <c r="V48" i="4" s="1"/>
  <c r="M48" i="3"/>
  <c r="O48" i="3" s="1"/>
  <c r="DB48" i="1"/>
  <c r="AE119" i="3"/>
  <c r="AD119" i="3"/>
  <c r="AC119" i="3"/>
  <c r="AA119" i="3"/>
  <c r="AB119" i="3"/>
  <c r="N119" i="3"/>
  <c r="DG119" i="1"/>
  <c r="O114" i="3"/>
  <c r="O9" i="3"/>
  <c r="W63" i="3"/>
  <c r="R63" i="4" s="1"/>
  <c r="V63" i="3"/>
  <c r="V63" i="4" s="1"/>
  <c r="Z63" i="3"/>
  <c r="X63" i="3"/>
  <c r="S63" i="4" s="1"/>
  <c r="Y63" i="3"/>
  <c r="T63" i="4" s="1"/>
  <c r="M63" i="3"/>
  <c r="O63" i="3" s="1"/>
  <c r="DB63" i="1"/>
  <c r="T117" i="3"/>
  <c r="R117" i="3"/>
  <c r="Q117" i="3"/>
  <c r="S117" i="3"/>
  <c r="U117" i="3"/>
  <c r="L117" i="3"/>
  <c r="O117" i="3" s="1"/>
  <c r="CW117" i="1"/>
  <c r="AD42" i="3"/>
  <c r="AC42" i="3"/>
  <c r="AA42" i="3"/>
  <c r="N42" i="3"/>
  <c r="AE42" i="3"/>
  <c r="AB42" i="3"/>
  <c r="DG42" i="1"/>
  <c r="O12" i="3"/>
  <c r="DD152" i="1"/>
  <c r="CU25" i="1"/>
  <c r="CV87" i="1"/>
  <c r="DF126" i="1"/>
  <c r="DA152" i="1"/>
  <c r="CY62" i="1"/>
  <c r="V147" i="3"/>
  <c r="AA147" i="4" s="1"/>
  <c r="Z147" i="3"/>
  <c r="Y147" i="3"/>
  <c r="T147" i="4" s="1"/>
  <c r="X147" i="3"/>
  <c r="S147" i="4" s="1"/>
  <c r="W147" i="3"/>
  <c r="R147" i="4" s="1"/>
  <c r="M147" i="3"/>
  <c r="O147" i="3" s="1"/>
  <c r="U142" i="3"/>
  <c r="T142" i="3"/>
  <c r="S142" i="3"/>
  <c r="R142" i="3"/>
  <c r="Q142" i="3"/>
  <c r="L142" i="3"/>
  <c r="O142" i="3" s="1"/>
  <c r="V44" i="3"/>
  <c r="AA44" i="4" s="1"/>
  <c r="Y44" i="3"/>
  <c r="AD44" i="4" s="1"/>
  <c r="W44" i="3"/>
  <c r="R44" i="4" s="1"/>
  <c r="X44" i="3"/>
  <c r="AC44" i="4" s="1"/>
  <c r="Z44" i="3"/>
  <c r="M44" i="3"/>
  <c r="O24" i="3"/>
  <c r="O87" i="3"/>
  <c r="O57" i="3"/>
  <c r="O66" i="3"/>
  <c r="O135" i="3"/>
  <c r="T94" i="3"/>
  <c r="S94" i="3"/>
  <c r="Q94" i="3"/>
  <c r="R94" i="3"/>
  <c r="U94" i="3"/>
  <c r="L94" i="3"/>
  <c r="O94" i="3" s="1"/>
  <c r="CW94" i="1"/>
  <c r="Z149" i="3"/>
  <c r="Y149" i="3"/>
  <c r="X149" i="3"/>
  <c r="W149" i="3"/>
  <c r="W149" i="4" s="1"/>
  <c r="V149" i="3"/>
  <c r="AA149" i="4" s="1"/>
  <c r="M149" i="3"/>
  <c r="O149" i="3" s="1"/>
  <c r="X153" i="3"/>
  <c r="X153" i="4" s="1"/>
  <c r="W153" i="3"/>
  <c r="R153" i="4" s="1"/>
  <c r="V153" i="3"/>
  <c r="V153" i="4" s="1"/>
  <c r="CX153" i="1" s="1"/>
  <c r="Z153" i="3"/>
  <c r="Y153" i="3"/>
  <c r="AD153" i="4" s="1"/>
  <c r="M153" i="3"/>
  <c r="DB153" i="1"/>
  <c r="U68" i="3"/>
  <c r="T68" i="3"/>
  <c r="S68" i="3"/>
  <c r="R68" i="3"/>
  <c r="Q68" i="3"/>
  <c r="L68" i="3"/>
  <c r="CW68" i="1"/>
  <c r="W89" i="3"/>
  <c r="AB89" i="4" s="1"/>
  <c r="Z89" i="3"/>
  <c r="V89" i="3"/>
  <c r="AA89" i="4" s="1"/>
  <c r="Y89" i="3"/>
  <c r="AD89" i="4" s="1"/>
  <c r="X89" i="3"/>
  <c r="AC89" i="4" s="1"/>
  <c r="M89" i="3"/>
  <c r="DB89" i="1"/>
  <c r="O34" i="3"/>
  <c r="Y93" i="3"/>
  <c r="AD93" i="4" s="1"/>
  <c r="X93" i="3"/>
  <c r="AC93" i="4" s="1"/>
  <c r="V93" i="3"/>
  <c r="AA93" i="4" s="1"/>
  <c r="Z93" i="3"/>
  <c r="W93" i="3"/>
  <c r="AB93" i="4" s="1"/>
  <c r="M93" i="3"/>
  <c r="O21" i="3"/>
  <c r="U55" i="3"/>
  <c r="T55" i="3"/>
  <c r="S55" i="3"/>
  <c r="R55" i="3"/>
  <c r="Q55" i="3"/>
  <c r="L55" i="3"/>
  <c r="Y119" i="3"/>
  <c r="T119" i="4" s="1"/>
  <c r="W119" i="3"/>
  <c r="R119" i="4" s="1"/>
  <c r="V119" i="3"/>
  <c r="V119" i="4" s="1"/>
  <c r="DC119" i="1" s="1"/>
  <c r="Z119" i="3"/>
  <c r="X119" i="3"/>
  <c r="S119" i="4" s="1"/>
  <c r="M119" i="3"/>
  <c r="O119" i="3" s="1"/>
  <c r="AE45" i="3"/>
  <c r="AD45" i="3"/>
  <c r="AB45" i="3"/>
  <c r="AC45" i="3"/>
  <c r="AA45" i="3"/>
  <c r="N45" i="3"/>
  <c r="V155" i="3"/>
  <c r="V155" i="4" s="1"/>
  <c r="Z155" i="3"/>
  <c r="Y155" i="3"/>
  <c r="T155" i="4" s="1"/>
  <c r="X155" i="3"/>
  <c r="S155" i="4" s="1"/>
  <c r="W155" i="3"/>
  <c r="R155" i="4" s="1"/>
  <c r="M155" i="3"/>
  <c r="O155" i="3" s="1"/>
  <c r="DB155" i="1"/>
  <c r="T38" i="3"/>
  <c r="R38" i="3"/>
  <c r="Q38" i="3"/>
  <c r="U38" i="3"/>
  <c r="S38" i="3"/>
  <c r="L38" i="3"/>
  <c r="CW38" i="1"/>
  <c r="Z103" i="3"/>
  <c r="W103" i="3"/>
  <c r="AB103" i="4" s="1"/>
  <c r="X103" i="3"/>
  <c r="AC103" i="4" s="1"/>
  <c r="V103" i="3"/>
  <c r="AA103" i="4" s="1"/>
  <c r="Y103" i="3"/>
  <c r="AD103" i="4" s="1"/>
  <c r="M103" i="3"/>
  <c r="O103" i="3" s="1"/>
  <c r="O28" i="3"/>
  <c r="S76" i="3"/>
  <c r="R76" i="3"/>
  <c r="Q76" i="3"/>
  <c r="T76" i="3"/>
  <c r="U76" i="3"/>
  <c r="L76" i="3"/>
  <c r="O76" i="3" s="1"/>
  <c r="CW76" i="1"/>
  <c r="X42" i="3"/>
  <c r="S42" i="4" s="1"/>
  <c r="V42" i="3"/>
  <c r="AA42" i="4" s="1"/>
  <c r="Y42" i="3"/>
  <c r="T42" i="4" s="1"/>
  <c r="Z42" i="3"/>
  <c r="W42" i="3"/>
  <c r="R42" i="4" s="1"/>
  <c r="M42" i="3"/>
  <c r="O42" i="3" s="1"/>
  <c r="AB100" i="3"/>
  <c r="AD100" i="3"/>
  <c r="AA100" i="3"/>
  <c r="AE100" i="3"/>
  <c r="AC100" i="3"/>
  <c r="N100" i="3"/>
  <c r="O100" i="3" s="1"/>
  <c r="T22" i="3"/>
  <c r="S22" i="3"/>
  <c r="R22" i="3"/>
  <c r="Q22" i="3"/>
  <c r="U22" i="3"/>
  <c r="L22" i="3"/>
  <c r="O22" i="3" s="1"/>
  <c r="DG100" i="1"/>
  <c r="CV145" i="1"/>
  <c r="U33" i="3"/>
  <c r="T33" i="3"/>
  <c r="S33" i="3"/>
  <c r="R33" i="3"/>
  <c r="Q33" i="3"/>
  <c r="L33" i="3"/>
  <c r="O33" i="3" s="1"/>
  <c r="CW33" i="1"/>
  <c r="U84" i="3"/>
  <c r="S84" i="3"/>
  <c r="T84" i="3"/>
  <c r="Q84" i="3"/>
  <c r="R84" i="3"/>
  <c r="L84" i="3"/>
  <c r="O84" i="3" s="1"/>
  <c r="CW84" i="1"/>
  <c r="S125" i="3"/>
  <c r="Q125" i="3"/>
  <c r="T125" i="3"/>
  <c r="U125" i="3"/>
  <c r="R125" i="3"/>
  <c r="L125" i="3"/>
  <c r="CW125" i="1"/>
  <c r="S115" i="3"/>
  <c r="Q115" i="3"/>
  <c r="U115" i="3"/>
  <c r="T115" i="3"/>
  <c r="R115" i="3"/>
  <c r="L115" i="3"/>
  <c r="U26" i="3"/>
  <c r="T26" i="3"/>
  <c r="Q26" i="3"/>
  <c r="S26" i="3"/>
  <c r="R26" i="3"/>
  <c r="L26" i="3"/>
  <c r="O26" i="3" s="1"/>
  <c r="CW26" i="1"/>
  <c r="U113" i="3"/>
  <c r="S113" i="3"/>
  <c r="R113" i="3"/>
  <c r="T113" i="3"/>
  <c r="Q113" i="3"/>
  <c r="L113" i="3"/>
  <c r="O113" i="3" s="1"/>
  <c r="Z71" i="3"/>
  <c r="X71" i="3"/>
  <c r="X71" i="4" s="1"/>
  <c r="W71" i="3"/>
  <c r="W71" i="4" s="1"/>
  <c r="V71" i="3"/>
  <c r="AA71" i="4" s="1"/>
  <c r="Y71" i="3"/>
  <c r="M71" i="3"/>
  <c r="O71" i="3" s="1"/>
  <c r="T14" i="3"/>
  <c r="S14" i="3"/>
  <c r="R14" i="3"/>
  <c r="Q14" i="3"/>
  <c r="U14" i="3"/>
  <c r="L14" i="3"/>
  <c r="O14" i="3" s="1"/>
  <c r="U41" i="3"/>
  <c r="S41" i="3"/>
  <c r="R41" i="3"/>
  <c r="T41" i="3"/>
  <c r="Q41" i="3"/>
  <c r="L41" i="3"/>
  <c r="O41" i="3" s="1"/>
  <c r="W15" i="3"/>
  <c r="R15" i="4" s="1"/>
  <c r="V15" i="3"/>
  <c r="AA15" i="4" s="1"/>
  <c r="X15" i="3"/>
  <c r="S15" i="4" s="1"/>
  <c r="Z15" i="3"/>
  <c r="Y15" i="3"/>
  <c r="T15" i="4" s="1"/>
  <c r="M15" i="3"/>
  <c r="CY150" i="1"/>
  <c r="CT150" i="1"/>
  <c r="O104" i="3"/>
  <c r="O67" i="3"/>
  <c r="U18" i="3"/>
  <c r="T18" i="3"/>
  <c r="Q18" i="3"/>
  <c r="S18" i="3"/>
  <c r="R18" i="3"/>
  <c r="L18" i="3"/>
  <c r="O18" i="3" s="1"/>
  <c r="CW18" i="1"/>
  <c r="U10" i="3"/>
  <c r="T10" i="3"/>
  <c r="Q10" i="3"/>
  <c r="S10" i="3"/>
  <c r="R10" i="3"/>
  <c r="L10" i="3"/>
  <c r="O10" i="3" s="1"/>
  <c r="CW10" i="1"/>
  <c r="Q97" i="3"/>
  <c r="U97" i="3"/>
  <c r="T97" i="3"/>
  <c r="R97" i="3"/>
  <c r="S97" i="3"/>
  <c r="L97" i="3"/>
  <c r="O97" i="3" s="1"/>
  <c r="CW97" i="1"/>
  <c r="U52" i="3"/>
  <c r="T52" i="3"/>
  <c r="S52" i="3"/>
  <c r="R52" i="3"/>
  <c r="Q52" i="3"/>
  <c r="L52" i="3"/>
  <c r="O52" i="3" s="1"/>
  <c r="V36" i="3"/>
  <c r="AA36" i="4" s="1"/>
  <c r="Y36" i="3"/>
  <c r="T36" i="4" s="1"/>
  <c r="W36" i="3"/>
  <c r="R36" i="4" s="1"/>
  <c r="Z36" i="3"/>
  <c r="X36" i="3"/>
  <c r="S36" i="4" s="1"/>
  <c r="M36" i="3"/>
  <c r="O36" i="3" s="1"/>
  <c r="O121" i="3"/>
  <c r="S51" i="3"/>
  <c r="R51" i="3"/>
  <c r="Q51" i="3"/>
  <c r="T51" i="3"/>
  <c r="U51" i="3"/>
  <c r="L51" i="3"/>
  <c r="CW51" i="1"/>
  <c r="Z40" i="3"/>
  <c r="X40" i="3"/>
  <c r="W40" i="3"/>
  <c r="Y40" i="3"/>
  <c r="V40" i="3"/>
  <c r="AA40" i="4" s="1"/>
  <c r="M40" i="3"/>
  <c r="O40" i="3" s="1"/>
  <c r="AD134" i="3"/>
  <c r="AB134" i="3"/>
  <c r="AA134" i="3"/>
  <c r="AE134" i="3"/>
  <c r="AC134" i="3"/>
  <c r="N134" i="3"/>
  <c r="DG134" i="1"/>
  <c r="O17" i="3"/>
  <c r="T96" i="3"/>
  <c r="R96" i="3"/>
  <c r="Q96" i="3"/>
  <c r="S96" i="3"/>
  <c r="U96" i="3"/>
  <c r="L96" i="3"/>
  <c r="O96" i="3" s="1"/>
  <c r="S35" i="3"/>
  <c r="T35" i="3"/>
  <c r="Q35" i="3"/>
  <c r="R35" i="3"/>
  <c r="U35" i="3"/>
  <c r="L35" i="3"/>
  <c r="O35" i="3" s="1"/>
  <c r="O23" i="3"/>
  <c r="S86" i="3"/>
  <c r="Q86" i="3"/>
  <c r="T86" i="3"/>
  <c r="R86" i="3"/>
  <c r="U86" i="3"/>
  <c r="L86" i="3"/>
  <c r="O86" i="3" s="1"/>
  <c r="CW86" i="1"/>
  <c r="Z83" i="3"/>
  <c r="X83" i="3"/>
  <c r="AC83" i="4" s="1"/>
  <c r="W83" i="3"/>
  <c r="AB83" i="4" s="1"/>
  <c r="V83" i="3"/>
  <c r="AA83" i="4" s="1"/>
  <c r="Y83" i="3"/>
  <c r="AD83" i="4" s="1"/>
  <c r="M83" i="3"/>
  <c r="DB83" i="1"/>
  <c r="DB156" i="1"/>
  <c r="DB42" i="1"/>
  <c r="DE25" i="1"/>
  <c r="DD70" i="1"/>
  <c r="CV90" i="1"/>
  <c r="CT87" i="1"/>
  <c r="CW41" i="1"/>
  <c r="CW14" i="1"/>
  <c r="DF87" i="1"/>
  <c r="DF30" i="1"/>
  <c r="Z27" i="3"/>
  <c r="Y27" i="3"/>
  <c r="T27" i="4" s="1"/>
  <c r="X27" i="3"/>
  <c r="S27" i="4" s="1"/>
  <c r="W27" i="3"/>
  <c r="R27" i="4" s="1"/>
  <c r="V27" i="3"/>
  <c r="AA27" i="4" s="1"/>
  <c r="M27" i="3"/>
  <c r="O27" i="3" s="1"/>
  <c r="T157" i="3"/>
  <c r="S157" i="3"/>
  <c r="R157" i="3"/>
  <c r="Q157" i="3"/>
  <c r="U157" i="3"/>
  <c r="L157" i="3"/>
  <c r="O157" i="3" s="1"/>
  <c r="R122" i="3"/>
  <c r="U122" i="3"/>
  <c r="S122" i="3"/>
  <c r="Q122" i="3"/>
  <c r="T122" i="3"/>
  <c r="L122" i="3"/>
  <c r="O122" i="3" s="1"/>
  <c r="U124" i="3"/>
  <c r="S124" i="3"/>
  <c r="Q124" i="3"/>
  <c r="T124" i="3"/>
  <c r="R124" i="3"/>
  <c r="L124" i="3"/>
  <c r="O124" i="3" s="1"/>
  <c r="O116" i="3"/>
  <c r="Z154" i="3"/>
  <c r="Y154" i="3"/>
  <c r="AD154" i="4" s="1"/>
  <c r="X154" i="3"/>
  <c r="S154" i="4" s="1"/>
  <c r="W154" i="3"/>
  <c r="R154" i="4" s="1"/>
  <c r="V154" i="3"/>
  <c r="V154" i="4" s="1"/>
  <c r="M154" i="3"/>
  <c r="O93" i="3"/>
  <c r="Z141" i="3"/>
  <c r="Y141" i="3"/>
  <c r="AD141" i="4" s="1"/>
  <c r="X141" i="3"/>
  <c r="AC141" i="4" s="1"/>
  <c r="W141" i="3"/>
  <c r="AB141" i="4" s="1"/>
  <c r="V141" i="3"/>
  <c r="AA141" i="4" s="1"/>
  <c r="M141" i="3"/>
  <c r="DB141" i="1"/>
  <c r="AE15" i="3"/>
  <c r="N15" i="3"/>
  <c r="O15" i="3" s="1"/>
  <c r="AD15" i="3"/>
  <c r="AC15" i="3"/>
  <c r="AB15" i="3"/>
  <c r="AA15" i="3"/>
  <c r="DG15" i="1"/>
  <c r="U72" i="3"/>
  <c r="S72" i="3"/>
  <c r="R72" i="3"/>
  <c r="Q72" i="3"/>
  <c r="T72" i="3"/>
  <c r="L72" i="3"/>
  <c r="O72" i="3" s="1"/>
  <c r="CW72" i="1"/>
  <c r="V99" i="3"/>
  <c r="AA99" i="4" s="1"/>
  <c r="Y99" i="3"/>
  <c r="T99" i="4" s="1"/>
  <c r="X99" i="3"/>
  <c r="S99" i="4" s="1"/>
  <c r="W99" i="3"/>
  <c r="R99" i="4" s="1"/>
  <c r="Z99" i="3"/>
  <c r="M99" i="3"/>
  <c r="O99" i="3" s="1"/>
  <c r="DB99" i="1"/>
  <c r="O110" i="3"/>
  <c r="Z64" i="3"/>
  <c r="Y64" i="3"/>
  <c r="Y64" i="4" s="1"/>
  <c r="X64" i="3"/>
  <c r="X64" i="4" s="1"/>
  <c r="W64" i="3"/>
  <c r="V64" i="3"/>
  <c r="AA64" i="4" s="1"/>
  <c r="M64" i="3"/>
  <c r="O64" i="3" s="1"/>
  <c r="Q156" i="3"/>
  <c r="U156" i="3"/>
  <c r="T156" i="3"/>
  <c r="S156" i="3"/>
  <c r="R156" i="3"/>
  <c r="L156" i="3"/>
  <c r="CW156" i="1"/>
  <c r="AD99" i="3"/>
  <c r="AA99" i="3"/>
  <c r="AE99" i="3"/>
  <c r="AB99" i="3"/>
  <c r="AC99" i="3"/>
  <c r="N99" i="3"/>
  <c r="DG99" i="1"/>
  <c r="AA51" i="3"/>
  <c r="AE51" i="3"/>
  <c r="AD51" i="3"/>
  <c r="AB51" i="3"/>
  <c r="AC51" i="3"/>
  <c r="N51" i="3"/>
  <c r="DG51" i="1"/>
  <c r="Z151" i="3"/>
  <c r="Y151" i="3"/>
  <c r="X151" i="3"/>
  <c r="X151" i="4" s="1"/>
  <c r="W151" i="3"/>
  <c r="V151" i="3"/>
  <c r="AA151" i="4" s="1"/>
  <c r="M151" i="3"/>
  <c r="O151" i="3" s="1"/>
  <c r="AD115" i="3"/>
  <c r="AA115" i="3"/>
  <c r="AB115" i="3"/>
  <c r="AC115" i="3"/>
  <c r="AE115" i="3"/>
  <c r="N115" i="3"/>
  <c r="DG115" i="1"/>
  <c r="CX130" i="1"/>
  <c r="DC130" i="1"/>
  <c r="DE128" i="1"/>
  <c r="CV11" i="1"/>
  <c r="CY114" i="1"/>
  <c r="DD114" i="1"/>
  <c r="DA79" i="1"/>
  <c r="CV79" i="1"/>
  <c r="DE101" i="1"/>
  <c r="DF124" i="1"/>
  <c r="DC76" i="1"/>
  <c r="CZ142" i="1"/>
  <c r="DF74" i="1"/>
  <c r="CU54" i="1"/>
  <c r="CU123" i="1"/>
  <c r="CX49" i="1"/>
  <c r="CV84" i="1"/>
  <c r="DC44" i="1"/>
  <c r="CU45" i="1"/>
  <c r="CX120" i="1"/>
  <c r="DC120" i="1"/>
  <c r="CZ157" i="1"/>
  <c r="DE157" i="1"/>
  <c r="CX19" i="1"/>
  <c r="DC19" i="1"/>
  <c r="DC73" i="1"/>
  <c r="CU13" i="1"/>
  <c r="CY70" i="1"/>
  <c r="CT56" i="1"/>
  <c r="DC68" i="1"/>
  <c r="DC81" i="1"/>
  <c r="DE11" i="1"/>
  <c r="DE74" i="1"/>
  <c r="CV127" i="1"/>
  <c r="CV72" i="1"/>
  <c r="DC45" i="1"/>
  <c r="DF132" i="1"/>
  <c r="DA132" i="1"/>
  <c r="CV132" i="1"/>
  <c r="DE109" i="1"/>
  <c r="CU109" i="1"/>
  <c r="CV76" i="1"/>
  <c r="CU94" i="1"/>
  <c r="CZ116" i="1"/>
  <c r="CV98" i="1"/>
  <c r="DD58" i="1"/>
  <c r="CT146" i="1"/>
  <c r="CT39" i="1"/>
  <c r="DC41" i="1"/>
  <c r="CT14" i="1"/>
  <c r="CT140" i="1"/>
  <c r="CV54" i="1"/>
  <c r="CX92" i="1"/>
  <c r="CU144" i="1"/>
  <c r="DA10" i="1"/>
  <c r="DF10" i="1"/>
  <c r="CV10" i="1"/>
  <c r="DE118" i="1"/>
  <c r="CU128" i="1"/>
  <c r="CU66" i="1"/>
  <c r="CV128" i="1"/>
  <c r="CT94" i="1"/>
  <c r="CV20" i="1"/>
  <c r="DC65" i="1"/>
  <c r="DC55" i="1"/>
  <c r="DC82" i="1"/>
  <c r="CY16" i="1"/>
  <c r="CZ31" i="1"/>
  <c r="CT105" i="1"/>
  <c r="DE45" i="1"/>
  <c r="DA39" i="1"/>
  <c r="DF31" i="1"/>
  <c r="CZ109" i="1"/>
  <c r="CY111" i="1"/>
  <c r="DD111" i="1"/>
  <c r="CT111" i="1"/>
  <c r="DC13" i="1"/>
  <c r="DE105" i="1"/>
  <c r="DD85" i="1"/>
  <c r="CY85" i="1"/>
  <c r="DD78" i="1"/>
  <c r="DC85" i="1"/>
  <c r="CX85" i="1"/>
  <c r="DA88" i="1"/>
  <c r="CV88" i="1"/>
  <c r="DF88" i="1"/>
  <c r="CX88" i="1"/>
  <c r="DC88" i="1"/>
  <c r="DF65" i="1"/>
  <c r="CV65" i="1"/>
  <c r="DA65" i="1"/>
  <c r="DF97" i="1"/>
  <c r="CV97" i="1"/>
  <c r="DA97" i="1"/>
  <c r="DC84" i="1"/>
  <c r="CX84" i="1"/>
  <c r="DC54" i="1"/>
  <c r="CX54" i="1"/>
  <c r="CV29" i="1"/>
  <c r="DF29" i="1"/>
  <c r="DA29" i="1"/>
  <c r="CT81" i="1"/>
  <c r="DD81" i="1"/>
  <c r="CY81" i="1"/>
  <c r="CX39" i="1"/>
  <c r="DC39" i="1"/>
  <c r="DD33" i="1"/>
  <c r="CT33" i="1"/>
  <c r="CY33" i="1"/>
  <c r="DE29" i="1"/>
  <c r="CU29" i="1"/>
  <c r="CZ29" i="1"/>
  <c r="CU68" i="1"/>
  <c r="DE68" i="1"/>
  <c r="CZ68" i="1"/>
  <c r="CU81" i="1"/>
  <c r="DE81" i="1"/>
  <c r="CZ81" i="1"/>
  <c r="CV116" i="1"/>
  <c r="DA116" i="1"/>
  <c r="DF116" i="1"/>
  <c r="CT21" i="1"/>
  <c r="DD21" i="1"/>
  <c r="CY21" i="1"/>
  <c r="DF68" i="1"/>
  <c r="CV68" i="1"/>
  <c r="DA68" i="1"/>
  <c r="CV21" i="1"/>
  <c r="DF21" i="1"/>
  <c r="DA21" i="1"/>
  <c r="CV122" i="1"/>
  <c r="DF122" i="1"/>
  <c r="DA122" i="1"/>
  <c r="CX70" i="1"/>
  <c r="DC70" i="1"/>
  <c r="DC98" i="1"/>
  <c r="CX98" i="1"/>
  <c r="DE21" i="1"/>
  <c r="CU21" i="1"/>
  <c r="CZ21" i="1"/>
  <c r="DC105" i="1"/>
  <c r="CX105" i="1"/>
  <c r="CT65" i="1"/>
  <c r="DD65" i="1"/>
  <c r="CY65" i="1"/>
  <c r="DF135" i="1"/>
  <c r="CV135" i="1"/>
  <c r="DA135" i="1"/>
  <c r="CX157" i="1"/>
  <c r="CX23" i="1"/>
  <c r="DC23" i="1"/>
  <c r="CU65" i="1"/>
  <c r="DE65" i="1"/>
  <c r="CZ65" i="1"/>
  <c r="DF70" i="1"/>
  <c r="DA70" i="1"/>
  <c r="CV70" i="1"/>
  <c r="CX56" i="1"/>
  <c r="DC56" i="1"/>
  <c r="CY157" i="1"/>
  <c r="CT157" i="1"/>
  <c r="DD157" i="1"/>
  <c r="DA67" i="1"/>
  <c r="CV67" i="1"/>
  <c r="DF67" i="1"/>
  <c r="CT29" i="1"/>
  <c r="DD29" i="1"/>
  <c r="CY39" i="1"/>
  <c r="DA157" i="1"/>
  <c r="CY102" i="1"/>
  <c r="CU157" i="1"/>
  <c r="CT101" i="1"/>
  <c r="CY101" i="1"/>
  <c r="DD101" i="1"/>
  <c r="CX67" i="1"/>
  <c r="DC67" i="1"/>
  <c r="CU74" i="1"/>
  <c r="DE82" i="1"/>
  <c r="CY132" i="1"/>
  <c r="DD132" i="1"/>
  <c r="CT132" i="1"/>
  <c r="CX101" i="1"/>
  <c r="DC101" i="1"/>
  <c r="DA72" i="1"/>
  <c r="CZ57" i="1"/>
  <c r="DE57" i="1"/>
  <c r="CU57" i="1"/>
  <c r="CX45" i="1"/>
  <c r="CT88" i="1"/>
  <c r="CY88" i="1"/>
  <c r="DD88" i="1"/>
  <c r="DA124" i="1"/>
  <c r="CU142" i="1"/>
  <c r="CY94" i="1"/>
  <c r="DA142" i="1"/>
  <c r="DA13" i="1"/>
  <c r="DD106" i="1"/>
  <c r="CY106" i="1"/>
  <c r="CT106" i="1"/>
  <c r="CV143" i="1"/>
  <c r="CZ72" i="1"/>
  <c r="DD90" i="1"/>
  <c r="CT90" i="1"/>
  <c r="CY90" i="1"/>
  <c r="CZ128" i="1"/>
  <c r="DC32" i="1"/>
  <c r="DE37" i="1"/>
  <c r="CZ37" i="1"/>
  <c r="CU37" i="1"/>
  <c r="DC106" i="1"/>
  <c r="CX106" i="1"/>
  <c r="DD56" i="1"/>
  <c r="CZ70" i="1"/>
  <c r="CX55" i="1"/>
  <c r="CY146" i="1"/>
  <c r="DC49" i="1"/>
  <c r="CZ74" i="1"/>
  <c r="DC144" i="1"/>
  <c r="DD140" i="1"/>
  <c r="DC116" i="1"/>
  <c r="CX73" i="1"/>
  <c r="CZ123" i="1"/>
  <c r="DC123" i="1"/>
  <c r="DF157" i="1"/>
  <c r="DE20" i="1"/>
  <c r="DA84" i="1"/>
  <c r="DA11" i="1"/>
  <c r="CY107" i="1"/>
  <c r="DA31" i="1"/>
  <c r="CZ105" i="1"/>
  <c r="CZ54" i="1"/>
  <c r="DD39" i="1"/>
  <c r="DD107" i="1"/>
  <c r="DA78" i="1"/>
  <c r="CX10" i="1"/>
  <c r="DC10" i="1"/>
  <c r="CX76" i="1"/>
  <c r="DA128" i="1"/>
  <c r="CZ136" i="1"/>
  <c r="DD94" i="1"/>
  <c r="DA143" i="1"/>
  <c r="DE122" i="1"/>
  <c r="CU122" i="1"/>
  <c r="DE123" i="1"/>
  <c r="DE136" i="1"/>
  <c r="CT28" i="1"/>
  <c r="DE144" i="1"/>
  <c r="CY28" i="1"/>
  <c r="CY140" i="1"/>
  <c r="DA54" i="1"/>
  <c r="CY57" i="1"/>
  <c r="CT57" i="1"/>
  <c r="DD57" i="1"/>
  <c r="DF76" i="1"/>
  <c r="DF98" i="1"/>
  <c r="DA127" i="1"/>
  <c r="DD67" i="1"/>
  <c r="CY67" i="1"/>
  <c r="CT67" i="1"/>
  <c r="DC37" i="1"/>
  <c r="CX37" i="1"/>
  <c r="DE72" i="1"/>
  <c r="CU111" i="1"/>
  <c r="CZ111" i="1"/>
  <c r="DE111" i="1"/>
  <c r="DF142" i="1"/>
  <c r="CZ66" i="1"/>
  <c r="DE66" i="1"/>
  <c r="DE54" i="1"/>
  <c r="CY29" i="1"/>
  <c r="CT122" i="1"/>
  <c r="DD122" i="1"/>
  <c r="CY56" i="1"/>
  <c r="DD97" i="1"/>
  <c r="CT97" i="1"/>
  <c r="CV124" i="1"/>
  <c r="CU31" i="1"/>
  <c r="DD135" i="1"/>
  <c r="CT135" i="1"/>
  <c r="CY135" i="1"/>
  <c r="DE142" i="1"/>
  <c r="DA107" i="1"/>
  <c r="CV78" i="1"/>
  <c r="CX44" i="1"/>
  <c r="DF72" i="1"/>
  <c r="DF107" i="1"/>
  <c r="CZ80" i="1"/>
  <c r="CU33" i="1"/>
  <c r="DE33" i="1"/>
  <c r="DE106" i="1"/>
  <c r="CZ106" i="1"/>
  <c r="CU106" i="1"/>
  <c r="CV33" i="1"/>
  <c r="DF33" i="1"/>
  <c r="CZ33" i="1"/>
  <c r="DA76" i="1"/>
  <c r="DE10" i="1"/>
  <c r="CZ10" i="1"/>
  <c r="CU10" i="1"/>
  <c r="DF54" i="1"/>
  <c r="CZ20" i="1"/>
  <c r="CV13" i="1"/>
  <c r="CZ13" i="1"/>
  <c r="CT68" i="1"/>
  <c r="DD68" i="1"/>
  <c r="CX81" i="1"/>
  <c r="CV101" i="1"/>
  <c r="DF101" i="1"/>
  <c r="DA101" i="1"/>
  <c r="CU97" i="1"/>
  <c r="DE97" i="1"/>
  <c r="CY11" i="1"/>
  <c r="CV31" i="1"/>
  <c r="DE135" i="1"/>
  <c r="CU135" i="1"/>
  <c r="CV74" i="1"/>
  <c r="CV114" i="1"/>
  <c r="DF114" i="1"/>
  <c r="DA114" i="1"/>
  <c r="CT11" i="1"/>
  <c r="DF45" i="1"/>
  <c r="DA50" i="1"/>
  <c r="CV50" i="1"/>
  <c r="DA98" i="1"/>
  <c r="DA80" i="1"/>
  <c r="CV117" i="1" l="1"/>
  <c r="DA117" i="1"/>
  <c r="DF117" i="1"/>
  <c r="CT125" i="1"/>
  <c r="CY125" i="1"/>
  <c r="CU12" i="1"/>
  <c r="DE12" i="1"/>
  <c r="DE117" i="1"/>
  <c r="CZ117" i="1"/>
  <c r="CU117" i="1"/>
  <c r="CZ71" i="1"/>
  <c r="DE71" i="1"/>
  <c r="CU71" i="1"/>
  <c r="DC117" i="1"/>
  <c r="CX117" i="1"/>
  <c r="DF64" i="1"/>
  <c r="CV64" i="1"/>
  <c r="DA64" i="1"/>
  <c r="CT149" i="1"/>
  <c r="CY149" i="1"/>
  <c r="DD149" i="1"/>
  <c r="DC115" i="1"/>
  <c r="CX115" i="1"/>
  <c r="AC139" i="4"/>
  <c r="W119" i="4"/>
  <c r="X139" i="4"/>
  <c r="CT12" i="1"/>
  <c r="DE59" i="1"/>
  <c r="CZ118" i="1"/>
  <c r="CU114" i="1"/>
  <c r="AD151" i="4"/>
  <c r="T151" i="4"/>
  <c r="T7" i="3"/>
  <c r="AD71" i="4"/>
  <c r="T71" i="4"/>
  <c r="S149" i="4"/>
  <c r="AC149" i="4"/>
  <c r="T17" i="4"/>
  <c r="AD17" i="4"/>
  <c r="O148" i="3"/>
  <c r="O112" i="3"/>
  <c r="AD24" i="4"/>
  <c r="T24" i="4"/>
  <c r="AD104" i="4"/>
  <c r="T104" i="4"/>
  <c r="R93" i="4"/>
  <c r="V51" i="4"/>
  <c r="CX51" i="1" s="1"/>
  <c r="S83" i="4"/>
  <c r="DF134" i="1"/>
  <c r="DA134" i="1"/>
  <c r="Y103" i="4"/>
  <c r="X155" i="4"/>
  <c r="AC63" i="4"/>
  <c r="Y36" i="4"/>
  <c r="DA36" i="1" s="1"/>
  <c r="S18" i="4"/>
  <c r="V42" i="4"/>
  <c r="CX52" i="1"/>
  <c r="Y153" i="4"/>
  <c r="AC15" i="4"/>
  <c r="CZ69" i="1"/>
  <c r="S103" i="4"/>
  <c r="Y89" i="4"/>
  <c r="Y15" i="4"/>
  <c r="DA15" i="1" s="1"/>
  <c r="X154" i="4"/>
  <c r="S26" i="4"/>
  <c r="W44" i="4"/>
  <c r="CT44" i="1" s="1"/>
  <c r="X147" i="4"/>
  <c r="T153" i="4"/>
  <c r="AA138" i="4"/>
  <c r="AD139" i="4"/>
  <c r="CV61" i="1"/>
  <c r="DF61" i="1"/>
  <c r="AA153" i="4"/>
  <c r="W113" i="4"/>
  <c r="X93" i="4"/>
  <c r="Y139" i="4"/>
  <c r="AD147" i="4"/>
  <c r="X138" i="4"/>
  <c r="Y141" i="4"/>
  <c r="DC108" i="1"/>
  <c r="CX108" i="1"/>
  <c r="V96" i="4"/>
  <c r="T141" i="4"/>
  <c r="V86" i="4"/>
  <c r="Y24" i="4"/>
  <c r="W38" i="4"/>
  <c r="AC100" i="4"/>
  <c r="W46" i="4"/>
  <c r="X156" i="4"/>
  <c r="AC112" i="4"/>
  <c r="S77" i="4"/>
  <c r="W100" i="4"/>
  <c r="X141" i="4"/>
  <c r="S141" i="4"/>
  <c r="CV149" i="1"/>
  <c r="DE114" i="1"/>
  <c r="O156" i="3"/>
  <c r="AB64" i="4"/>
  <c r="R64" i="4"/>
  <c r="R7" i="3"/>
  <c r="U7" i="3"/>
  <c r="O125" i="3"/>
  <c r="Q7" i="3"/>
  <c r="T149" i="4"/>
  <c r="AD149" i="4"/>
  <c r="DC26" i="1"/>
  <c r="AA26" i="4"/>
  <c r="R34" i="4"/>
  <c r="AB34" i="4"/>
  <c r="O89" i="3"/>
  <c r="DD125" i="1"/>
  <c r="CZ12" i="1"/>
  <c r="AC12" i="4"/>
  <c r="S12" i="4"/>
  <c r="R104" i="4"/>
  <c r="AB104" i="4"/>
  <c r="DD61" i="1"/>
  <c r="CT61" i="1"/>
  <c r="T93" i="4"/>
  <c r="X51" i="4"/>
  <c r="T22" i="4"/>
  <c r="W99" i="4"/>
  <c r="V103" i="4"/>
  <c r="AB51" i="4"/>
  <c r="W155" i="4"/>
  <c r="AD63" i="4"/>
  <c r="V36" i="4"/>
  <c r="V83" i="4"/>
  <c r="R18" i="4"/>
  <c r="W42" i="4"/>
  <c r="CY42" i="1" s="1"/>
  <c r="CV52" i="1"/>
  <c r="DF52" i="1"/>
  <c r="AD15" i="4"/>
  <c r="T103" i="4"/>
  <c r="CZ158" i="1"/>
  <c r="CU158" i="1"/>
  <c r="DE158" i="1"/>
  <c r="R38" i="4"/>
  <c r="AA117" i="4"/>
  <c r="Y154" i="4"/>
  <c r="X44" i="4"/>
  <c r="W147" i="4"/>
  <c r="Y22" i="4"/>
  <c r="CV22" i="1" s="1"/>
  <c r="DA52" i="1"/>
  <c r="AA48" i="4"/>
  <c r="S44" i="4"/>
  <c r="CY47" i="1"/>
  <c r="Y71" i="4"/>
  <c r="W26" i="4"/>
  <c r="CZ91" i="1"/>
  <c r="CU91" i="1"/>
  <c r="AB153" i="4"/>
  <c r="X113" i="4"/>
  <c r="Y93" i="4"/>
  <c r="W139" i="4"/>
  <c r="V34" i="4"/>
  <c r="Y138" i="4"/>
  <c r="R46" i="4"/>
  <c r="Y151" i="4"/>
  <c r="DA151" i="1" s="1"/>
  <c r="W96" i="4"/>
  <c r="X125" i="4"/>
  <c r="W86" i="4"/>
  <c r="CT86" i="1" s="1"/>
  <c r="Y38" i="4"/>
  <c r="AD100" i="4"/>
  <c r="Y46" i="4"/>
  <c r="Y156" i="4"/>
  <c r="AA112" i="4"/>
  <c r="T77" i="4"/>
  <c r="Y100" i="4"/>
  <c r="AC24" i="4"/>
  <c r="S24" i="4"/>
  <c r="AC34" i="4"/>
  <c r="S34" i="4"/>
  <c r="AD12" i="4"/>
  <c r="T12" i="4"/>
  <c r="AC104" i="4"/>
  <c r="S104" i="4"/>
  <c r="AA155" i="4"/>
  <c r="V64" i="4"/>
  <c r="X99" i="4"/>
  <c r="DD131" i="1"/>
  <c r="CT131" i="1"/>
  <c r="W103" i="4"/>
  <c r="AC51" i="4"/>
  <c r="Y155" i="4"/>
  <c r="DA155" i="1" s="1"/>
  <c r="AA63" i="4"/>
  <c r="W36" i="4"/>
  <c r="W83" i="4"/>
  <c r="X42" i="4"/>
  <c r="W27" i="4"/>
  <c r="CT27" i="1" s="1"/>
  <c r="CX129" i="1"/>
  <c r="DC129" i="1"/>
  <c r="V77" i="4"/>
  <c r="W153" i="4"/>
  <c r="S125" i="4"/>
  <c r="DD47" i="1"/>
  <c r="AC96" i="4"/>
  <c r="S38" i="4"/>
  <c r="W89" i="4"/>
  <c r="AB117" i="4"/>
  <c r="R26" i="4"/>
  <c r="Y147" i="4"/>
  <c r="CV75" i="1"/>
  <c r="X32" i="4"/>
  <c r="CU32" i="1" s="1"/>
  <c r="AA119" i="4"/>
  <c r="AB48" i="4"/>
  <c r="T44" i="4"/>
  <c r="S148" i="4"/>
  <c r="X26" i="4"/>
  <c r="AC153" i="4"/>
  <c r="V113" i="4"/>
  <c r="CX47" i="1"/>
  <c r="W34" i="4"/>
  <c r="S46" i="4"/>
  <c r="O32" i="3"/>
  <c r="X96" i="4"/>
  <c r="W115" i="4"/>
  <c r="Y125" i="4"/>
  <c r="X86" i="4"/>
  <c r="AA53" i="4"/>
  <c r="R86" i="4"/>
  <c r="AD112" i="4"/>
  <c r="AB44" i="4"/>
  <c r="T64" i="4"/>
  <c r="AD64" i="4"/>
  <c r="S71" i="4"/>
  <c r="AC71" i="4"/>
  <c r="O138" i="3"/>
  <c r="O74" i="3"/>
  <c r="CY12" i="1"/>
  <c r="AB12" i="4"/>
  <c r="R12" i="4"/>
  <c r="S93" i="4"/>
  <c r="AB155" i="4"/>
  <c r="S156" i="4"/>
  <c r="W64" i="4"/>
  <c r="Y99" i="4"/>
  <c r="CY69" i="1"/>
  <c r="X95" i="4"/>
  <c r="S117" i="4"/>
  <c r="CU87" i="1"/>
  <c r="DE87" i="1"/>
  <c r="X103" i="4"/>
  <c r="AB99" i="4"/>
  <c r="AB63" i="4"/>
  <c r="X36" i="4"/>
  <c r="X83" i="4"/>
  <c r="Y104" i="4"/>
  <c r="Y42" i="4"/>
  <c r="V27" i="4"/>
  <c r="CV25" i="1"/>
  <c r="DF25" i="1"/>
  <c r="W77" i="4"/>
  <c r="AC154" i="4"/>
  <c r="R125" i="4"/>
  <c r="CY87" i="1"/>
  <c r="AD96" i="4"/>
  <c r="T38" i="4"/>
  <c r="AC117" i="4"/>
  <c r="T113" i="4"/>
  <c r="CU69" i="1"/>
  <c r="AC115" i="4"/>
  <c r="Y32" i="4"/>
  <c r="CY60" i="1"/>
  <c r="CT60" i="1"/>
  <c r="DD60" i="1"/>
  <c r="CY61" i="1"/>
  <c r="X22" i="4"/>
  <c r="AB119" i="4"/>
  <c r="R148" i="4"/>
  <c r="Y26" i="4"/>
  <c r="CV26" i="1" s="1"/>
  <c r="AB125" i="4"/>
  <c r="Y113" i="4"/>
  <c r="Y119" i="4"/>
  <c r="X53" i="4"/>
  <c r="V139" i="4"/>
  <c r="DC139" i="1" s="1"/>
  <c r="R95" i="4"/>
  <c r="X34" i="4"/>
  <c r="T46" i="4"/>
  <c r="T154" i="4"/>
  <c r="AB42" i="4"/>
  <c r="AB36" i="4"/>
  <c r="AD27" i="4"/>
  <c r="Y96" i="4"/>
  <c r="Y86" i="4"/>
  <c r="CX137" i="1"/>
  <c r="V38" i="4"/>
  <c r="AB53" i="4"/>
  <c r="S86" i="4"/>
  <c r="V46" i="4"/>
  <c r="R89" i="4"/>
  <c r="Y18" i="4"/>
  <c r="V100" i="4"/>
  <c r="CT69" i="1"/>
  <c r="AD34" i="4"/>
  <c r="T34" i="4"/>
  <c r="DD145" i="1"/>
  <c r="CT145" i="1"/>
  <c r="CU59" i="1"/>
  <c r="CZ130" i="1"/>
  <c r="T40" i="4"/>
  <c r="AD40" i="4"/>
  <c r="DD52" i="1"/>
  <c r="CT52" i="1"/>
  <c r="DD50" i="1"/>
  <c r="CY50" i="1"/>
  <c r="CT50" i="1"/>
  <c r="Y12" i="4"/>
  <c r="AC155" i="4"/>
  <c r="R156" i="4"/>
  <c r="V99" i="4"/>
  <c r="R117" i="4"/>
  <c r="AD99" i="4"/>
  <c r="Y83" i="4"/>
  <c r="X27" i="4"/>
  <c r="DF129" i="1"/>
  <c r="CV129" i="1"/>
  <c r="X77" i="4"/>
  <c r="V149" i="4"/>
  <c r="AB154" i="4"/>
  <c r="V17" i="4"/>
  <c r="AD117" i="4"/>
  <c r="R113" i="4"/>
  <c r="V147" i="4"/>
  <c r="AB115" i="4"/>
  <c r="Y112" i="4"/>
  <c r="W22" i="4"/>
  <c r="AC119" i="4"/>
  <c r="V40" i="4"/>
  <c r="T148" i="4"/>
  <c r="AC138" i="4"/>
  <c r="AC32" i="4"/>
  <c r="X63" i="4"/>
  <c r="X119" i="4"/>
  <c r="DE119" i="1" s="1"/>
  <c r="CY52" i="1"/>
  <c r="W53" i="4"/>
  <c r="S95" i="4"/>
  <c r="Y34" i="4"/>
  <c r="AC36" i="4"/>
  <c r="Y115" i="4"/>
  <c r="V148" i="4"/>
  <c r="AC53" i="4"/>
  <c r="T86" i="4"/>
  <c r="S89" i="4"/>
  <c r="V18" i="4"/>
  <c r="X100" i="4"/>
  <c r="DD133" i="1"/>
  <c r="CT133" i="1"/>
  <c r="CY145" i="1"/>
  <c r="R71" i="4"/>
  <c r="AB71" i="4"/>
  <c r="DC20" i="1"/>
  <c r="DF149" i="1"/>
  <c r="AB40" i="4"/>
  <c r="R40" i="4"/>
  <c r="R17" i="4"/>
  <c r="AB17" i="4"/>
  <c r="DF125" i="1"/>
  <c r="CU131" i="1"/>
  <c r="DE131" i="1"/>
  <c r="DE50" i="1"/>
  <c r="CU50" i="1"/>
  <c r="CZ50" i="1"/>
  <c r="AD155" i="4"/>
  <c r="T156" i="4"/>
  <c r="T83" i="4"/>
  <c r="V95" i="4"/>
  <c r="T117" i="4"/>
  <c r="V104" i="4"/>
  <c r="CX126" i="1"/>
  <c r="Y27" i="4"/>
  <c r="DF145" i="1"/>
  <c r="DA145" i="1"/>
  <c r="Y77" i="4"/>
  <c r="R96" i="4"/>
  <c r="T115" i="4"/>
  <c r="CU137" i="1"/>
  <c r="DE137" i="1"/>
  <c r="Y17" i="4"/>
  <c r="CX110" i="1"/>
  <c r="W48" i="4"/>
  <c r="CY48" i="1" s="1"/>
  <c r="V15" i="4"/>
  <c r="S113" i="4"/>
  <c r="V22" i="4"/>
  <c r="DC22" i="1" s="1"/>
  <c r="AD119" i="4"/>
  <c r="W40" i="4"/>
  <c r="CY40" i="1" s="1"/>
  <c r="AD138" i="4"/>
  <c r="CX133" i="1"/>
  <c r="Y63" i="4"/>
  <c r="CV63" i="1" s="1"/>
  <c r="AD125" i="4"/>
  <c r="V93" i="4"/>
  <c r="T95" i="4"/>
  <c r="AC42" i="4"/>
  <c r="W141" i="4"/>
  <c r="AD36" i="4"/>
  <c r="AB27" i="4"/>
  <c r="W148" i="4"/>
  <c r="CT148" i="1" s="1"/>
  <c r="V24" i="4"/>
  <c r="CY131" i="1"/>
  <c r="AD53" i="4"/>
  <c r="T89" i="4"/>
  <c r="W18" i="4"/>
  <c r="AC151" i="4"/>
  <c r="S151" i="4"/>
  <c r="Z7" i="3"/>
  <c r="AB149" i="4"/>
  <c r="R149" i="4"/>
  <c r="DE130" i="1"/>
  <c r="CU64" i="1"/>
  <c r="S64" i="4"/>
  <c r="AC64" i="4"/>
  <c r="R151" i="4"/>
  <c r="AB151" i="4"/>
  <c r="AC40" i="4"/>
  <c r="S40" i="4"/>
  <c r="S7" i="3"/>
  <c r="O134" i="3"/>
  <c r="S17" i="4"/>
  <c r="AC17" i="4"/>
  <c r="AE7" i="3"/>
  <c r="AB24" i="4"/>
  <c r="R24" i="4"/>
  <c r="DE110" i="1"/>
  <c r="CU110" i="1"/>
  <c r="CT126" i="1"/>
  <c r="DD126" i="1"/>
  <c r="V12" i="4"/>
  <c r="R22" i="4"/>
  <c r="W95" i="4"/>
  <c r="CY95" i="1" s="1"/>
  <c r="T18" i="4"/>
  <c r="W104" i="4"/>
  <c r="X149" i="4"/>
  <c r="DC114" i="1"/>
  <c r="CX114" i="1"/>
  <c r="V89" i="4"/>
  <c r="X48" i="4"/>
  <c r="CV134" i="1"/>
  <c r="W15" i="4"/>
  <c r="Y44" i="4"/>
  <c r="W112" i="4"/>
  <c r="X40" i="4"/>
  <c r="AD48" i="4"/>
  <c r="AB138" i="4"/>
  <c r="AB139" i="4"/>
  <c r="W93" i="4"/>
  <c r="Y53" i="4"/>
  <c r="AB147" i="4"/>
  <c r="V151" i="4"/>
  <c r="AD42" i="4"/>
  <c r="V141" i="4"/>
  <c r="AC27" i="4"/>
  <c r="R141" i="4"/>
  <c r="X148" i="4"/>
  <c r="W24" i="4"/>
  <c r="DA69" i="1"/>
  <c r="V156" i="4"/>
  <c r="DE47" i="1"/>
  <c r="X18" i="4"/>
  <c r="CT75" i="1"/>
  <c r="CZ83" i="1"/>
  <c r="DE83" i="1"/>
  <c r="CU83" i="1"/>
  <c r="CZ125" i="1"/>
  <c r="CU125" i="1"/>
  <c r="DE125" i="1"/>
  <c r="DA95" i="1"/>
  <c r="DF95" i="1"/>
  <c r="CV95" i="1"/>
  <c r="DA63" i="1"/>
  <c r="DA53" i="1"/>
  <c r="DF53" i="1"/>
  <c r="CV53" i="1"/>
  <c r="CX86" i="1"/>
  <c r="DC86" i="1"/>
  <c r="DE22" i="1"/>
  <c r="DE154" i="1"/>
  <c r="CX26" i="1"/>
  <c r="DA104" i="1"/>
  <c r="CV155" i="1"/>
  <c r="O68" i="3"/>
  <c r="DA48" i="1"/>
  <c r="DF48" i="1"/>
  <c r="CV48" i="1"/>
  <c r="CZ35" i="1"/>
  <c r="DE35" i="1"/>
  <c r="CU35" i="1"/>
  <c r="CY30" i="1"/>
  <c r="CT30" i="1"/>
  <c r="DD30" i="1"/>
  <c r="O44" i="3"/>
  <c r="DC121" i="1"/>
  <c r="CX121" i="1"/>
  <c r="CZ95" i="1"/>
  <c r="DE95" i="1"/>
  <c r="CU95" i="1"/>
  <c r="AD7" i="3"/>
  <c r="CY86" i="1"/>
  <c r="Y7" i="3"/>
  <c r="AB7" i="3"/>
  <c r="DD44" i="1"/>
  <c r="W7" i="3"/>
  <c r="CZ153" i="1"/>
  <c r="CU153" i="1"/>
  <c r="CY91" i="1"/>
  <c r="DD91" i="1"/>
  <c r="CT91" i="1"/>
  <c r="CX113" i="1"/>
  <c r="DC113" i="1"/>
  <c r="DF62" i="1"/>
  <c r="DA62" i="1"/>
  <c r="CV62" i="1"/>
  <c r="CY37" i="1"/>
  <c r="CT37" i="1"/>
  <c r="DD37" i="1"/>
  <c r="DD51" i="1"/>
  <c r="CT51" i="1"/>
  <c r="CY51" i="1"/>
  <c r="CZ108" i="1"/>
  <c r="DE108" i="1"/>
  <c r="CU108" i="1"/>
  <c r="O77" i="3"/>
  <c r="CY117" i="1"/>
  <c r="DD117" i="1"/>
  <c r="CZ121" i="1"/>
  <c r="CU121" i="1"/>
  <c r="DE121" i="1"/>
  <c r="CZ113" i="1"/>
  <c r="DE113" i="1"/>
  <c r="CU113" i="1"/>
  <c r="CY96" i="1"/>
  <c r="DD96" i="1"/>
  <c r="CT96" i="1"/>
  <c r="DC53" i="1"/>
  <c r="CX53" i="1"/>
  <c r="O46" i="3"/>
  <c r="O154" i="3"/>
  <c r="AA7" i="3"/>
  <c r="CX62" i="1"/>
  <c r="DC62" i="1"/>
  <c r="CY153" i="1"/>
  <c r="CT153" i="1"/>
  <c r="DF127" i="1"/>
  <c r="CZ45" i="1"/>
  <c r="DF84" i="1"/>
  <c r="V7" i="3"/>
  <c r="DF118" i="1"/>
  <c r="DA118" i="1"/>
  <c r="CV118" i="1"/>
  <c r="CX83" i="1"/>
  <c r="DC83" i="1"/>
  <c r="X7" i="3"/>
  <c r="DA37" i="1"/>
  <c r="CV37" i="1"/>
  <c r="DF37" i="1"/>
  <c r="CZ96" i="1"/>
  <c r="DE96" i="1"/>
  <c r="CU96" i="1"/>
  <c r="CZ62" i="1"/>
  <c r="DE62" i="1"/>
  <c r="CU62" i="1"/>
  <c r="O83" i="3"/>
  <c r="DC125" i="1"/>
  <c r="CZ64" i="1"/>
  <c r="CT117" i="1"/>
  <c r="CT79" i="1"/>
  <c r="DD79" i="1"/>
  <c r="CY79" i="1"/>
  <c r="O115" i="3"/>
  <c r="O55" i="3"/>
  <c r="CX48" i="1"/>
  <c r="DC48" i="1"/>
  <c r="DE77" i="1"/>
  <c r="CZ77" i="1"/>
  <c r="DF121" i="1"/>
  <c r="CV121" i="1"/>
  <c r="DA121" i="1"/>
  <c r="O153" i="3"/>
  <c r="DD95" i="1"/>
  <c r="CX57" i="1"/>
  <c r="DC57" i="1"/>
  <c r="CT99" i="1"/>
  <c r="DD99" i="1"/>
  <c r="CY99" i="1"/>
  <c r="DA83" i="1"/>
  <c r="CV83" i="1"/>
  <c r="DF83" i="1"/>
  <c r="O45" i="3"/>
  <c r="CU79" i="1"/>
  <c r="DE79" i="1"/>
  <c r="CZ79" i="1"/>
  <c r="CY58" i="1"/>
  <c r="CT78" i="1"/>
  <c r="DE64" i="1"/>
  <c r="DA74" i="1"/>
  <c r="DA60" i="1"/>
  <c r="DF60" i="1"/>
  <c r="CV60" i="1"/>
  <c r="O51" i="3"/>
  <c r="DD153" i="1"/>
  <c r="CY155" i="1"/>
  <c r="DD155" i="1"/>
  <c r="CT155" i="1"/>
  <c r="CY63" i="1"/>
  <c r="DD63" i="1"/>
  <c r="CT63" i="1"/>
  <c r="DF57" i="1"/>
  <c r="CV57" i="1"/>
  <c r="DA57" i="1"/>
  <c r="DC118" i="1"/>
  <c r="CX118" i="1"/>
  <c r="CU77" i="1"/>
  <c r="O141" i="3"/>
  <c r="DD148" i="1"/>
  <c r="DD108" i="1"/>
  <c r="CT108" i="1"/>
  <c r="CY108" i="1"/>
  <c r="CT36" i="1"/>
  <c r="DF20" i="1"/>
  <c r="CU60" i="1"/>
  <c r="CZ60" i="1"/>
  <c r="DE60" i="1"/>
  <c r="DC111" i="1"/>
  <c r="CX111" i="1"/>
  <c r="DE153" i="1"/>
  <c r="O38" i="3"/>
  <c r="DC153" i="1"/>
  <c r="CY53" i="1"/>
  <c r="CT53" i="1"/>
  <c r="DD53" i="1"/>
  <c r="AC7" i="3"/>
  <c r="CT92" i="1"/>
  <c r="DD92" i="1"/>
  <c r="CX65" i="1"/>
  <c r="DF27" i="1"/>
  <c r="CX82" i="1"/>
  <c r="CU104" i="1"/>
  <c r="CZ104" i="1"/>
  <c r="DE94" i="1"/>
  <c r="CZ15" i="1"/>
  <c r="CZ32" i="1"/>
  <c r="CY92" i="1"/>
  <c r="CZ11" i="1"/>
  <c r="CZ94" i="1"/>
  <c r="CU140" i="1"/>
  <c r="DE140" i="1"/>
  <c r="CZ140" i="1"/>
  <c r="CU15" i="1"/>
  <c r="DE32" i="1"/>
  <c r="CU11" i="1"/>
  <c r="CT40" i="1"/>
  <c r="DD40" i="1"/>
  <c r="CY147" i="1"/>
  <c r="CT147" i="1"/>
  <c r="DC112" i="1"/>
  <c r="CX112" i="1"/>
  <c r="CY115" i="1"/>
  <c r="CX41" i="1"/>
  <c r="CX119" i="1"/>
  <c r="CU70" i="1"/>
  <c r="DE70" i="1"/>
  <c r="DC94" i="1"/>
  <c r="CX94" i="1"/>
  <c r="CU156" i="1"/>
  <c r="DE156" i="1"/>
  <c r="DC38" i="1"/>
  <c r="CX38" i="1"/>
  <c r="DD16" i="1"/>
  <c r="CT16" i="1"/>
  <c r="CU115" i="1"/>
  <c r="DF26" i="1"/>
  <c r="DD147" i="1"/>
  <c r="CX13" i="1"/>
  <c r="DA20" i="1"/>
  <c r="CZ156" i="1"/>
  <c r="CV39" i="1"/>
  <c r="DF39" i="1"/>
  <c r="CU151" i="1"/>
  <c r="CZ151" i="1"/>
  <c r="DE151" i="1"/>
  <c r="CV36" i="1"/>
  <c r="DF36" i="1"/>
  <c r="DD42" i="1"/>
  <c r="CT42" i="1"/>
  <c r="CU26" i="1"/>
  <c r="CZ26" i="1"/>
  <c r="CT154" i="1"/>
  <c r="CY154" i="1"/>
  <c r="DD154" i="1"/>
  <c r="DE152" i="1"/>
  <c r="CU152" i="1"/>
  <c r="CZ152" i="1"/>
  <c r="CU84" i="1"/>
  <c r="CZ84" i="1"/>
  <c r="CY78" i="1"/>
  <c r="DA26" i="1"/>
  <c r="CX68" i="1"/>
  <c r="DE84" i="1"/>
  <c r="DC127" i="1"/>
  <c r="CX127" i="1"/>
  <c r="CT156" i="1"/>
  <c r="DD156" i="1"/>
  <c r="DE146" i="1"/>
  <c r="CZ146" i="1"/>
  <c r="DC17" i="1"/>
  <c r="CX17" i="1"/>
  <c r="CV18" i="1"/>
  <c r="DF18" i="1"/>
  <c r="DC107" i="1"/>
  <c r="CX107" i="1"/>
  <c r="CT102" i="1"/>
  <c r="DD102" i="1"/>
  <c r="CZ119" i="1"/>
  <c r="CZ144" i="1"/>
  <c r="CZ115" i="1"/>
  <c r="CX128" i="1"/>
  <c r="DD105" i="1"/>
  <c r="CY105" i="1"/>
  <c r="DE80" i="1"/>
  <c r="CU80" i="1"/>
  <c r="CV45" i="1"/>
  <c r="DA45" i="1"/>
  <c r="CX154" i="1"/>
  <c r="DC154" i="1"/>
  <c r="CT130" i="1"/>
  <c r="DD130" i="1"/>
  <c r="CU27" i="1"/>
  <c r="DE27" i="1"/>
  <c r="CZ27" i="1"/>
  <c r="DC136" i="1"/>
  <c r="CX136" i="1"/>
  <c r="CU119" i="1"/>
  <c r="DA18" i="1"/>
  <c r="CZ82" i="1"/>
  <c r="DE26" i="1"/>
  <c r="CT58" i="1"/>
  <c r="DF80" i="1"/>
  <c r="CV80" i="1"/>
  <c r="DD14" i="1"/>
  <c r="CY14" i="1"/>
  <c r="CV104" i="1"/>
  <c r="DF104" i="1"/>
  <c r="DC46" i="1"/>
  <c r="CX46" i="1"/>
  <c r="CV23" i="1"/>
  <c r="DA23" i="1"/>
  <c r="DF23" i="1"/>
  <c r="DF28" i="1"/>
  <c r="DA28" i="1"/>
  <c r="CV28" i="1"/>
  <c r="CT76" i="1"/>
  <c r="DD76" i="1"/>
  <c r="CY76" i="1"/>
  <c r="CV24" i="1"/>
  <c r="DF24" i="1"/>
  <c r="DA24" i="1"/>
  <c r="DF115" i="1"/>
  <c r="CV115" i="1"/>
  <c r="DA115" i="1"/>
  <c r="DF58" i="1"/>
  <c r="DA58" i="1"/>
  <c r="CV58" i="1"/>
  <c r="DE14" i="1"/>
  <c r="CZ14" i="1"/>
  <c r="CU14" i="1"/>
  <c r="CV130" i="1"/>
  <c r="DA130" i="1"/>
  <c r="DF130" i="1"/>
  <c r="CV120" i="1"/>
  <c r="DF120" i="1"/>
  <c r="DA120" i="1"/>
  <c r="DC103" i="1"/>
  <c r="CX103" i="1"/>
  <c r="DC58" i="1"/>
  <c r="CX58" i="1"/>
  <c r="DD119" i="1"/>
  <c r="CT119" i="1"/>
  <c r="CY119" i="1"/>
  <c r="CT23" i="1"/>
  <c r="DD23" i="1"/>
  <c r="CY23" i="1"/>
  <c r="CT66" i="1"/>
  <c r="DD66" i="1"/>
  <c r="CY66" i="1"/>
  <c r="CU100" i="1"/>
  <c r="CZ100" i="1"/>
  <c r="DE100" i="1"/>
  <c r="CX14" i="1"/>
  <c r="DC14" i="1"/>
  <c r="DF112" i="1"/>
  <c r="DA112" i="1"/>
  <c r="CV112" i="1"/>
  <c r="CU49" i="1"/>
  <c r="CZ49" i="1"/>
  <c r="DE49" i="1"/>
  <c r="CV136" i="1"/>
  <c r="DF136" i="1"/>
  <c r="DA136" i="1"/>
  <c r="DC124" i="1"/>
  <c r="CX124" i="1"/>
  <c r="DC122" i="1"/>
  <c r="CX122" i="1"/>
  <c r="DF146" i="1"/>
  <c r="DA146" i="1"/>
  <c r="CV146" i="1"/>
  <c r="DD74" i="1"/>
  <c r="CT74" i="1"/>
  <c r="CY74" i="1"/>
  <c r="DC97" i="1"/>
  <c r="CX97" i="1"/>
  <c r="CV82" i="1"/>
  <c r="DF82" i="1"/>
  <c r="DA82" i="1"/>
  <c r="DE103" i="1"/>
  <c r="CU103" i="1"/>
  <c r="CZ103" i="1"/>
  <c r="DD13" i="1"/>
  <c r="CY13" i="1"/>
  <c r="CT13" i="1"/>
  <c r="DD15" i="1"/>
  <c r="CT15" i="1"/>
  <c r="CY15" i="1"/>
  <c r="DC102" i="1"/>
  <c r="CX102" i="1"/>
  <c r="CV32" i="1"/>
  <c r="DA32" i="1"/>
  <c r="DF32" i="1"/>
  <c r="CU127" i="1"/>
  <c r="DE127" i="1"/>
  <c r="CZ127" i="1"/>
  <c r="DF14" i="1"/>
  <c r="CV14" i="1"/>
  <c r="DA14" i="1"/>
  <c r="DC11" i="1"/>
  <c r="CX11" i="1"/>
  <c r="DE143" i="1"/>
  <c r="CZ143" i="1"/>
  <c r="CU143" i="1"/>
  <c r="DE112" i="1"/>
  <c r="CU112" i="1"/>
  <c r="CZ112" i="1"/>
  <c r="CU38" i="1"/>
  <c r="CZ38" i="1"/>
  <c r="DE38" i="1"/>
  <c r="DD31" i="1"/>
  <c r="CY31" i="1"/>
  <c r="CT31" i="1"/>
  <c r="DC142" i="1"/>
  <c r="CX142" i="1"/>
  <c r="DE55" i="1"/>
  <c r="CZ55" i="1"/>
  <c r="CU55" i="1"/>
  <c r="DC21" i="1"/>
  <c r="CX21" i="1"/>
  <c r="DA59" i="1"/>
  <c r="DF59" i="1"/>
  <c r="CV59" i="1"/>
  <c r="CT45" i="1"/>
  <c r="DD45" i="1"/>
  <c r="CY45" i="1"/>
  <c r="CU34" i="1"/>
  <c r="DE34" i="1"/>
  <c r="CZ34" i="1"/>
  <c r="CV43" i="1"/>
  <c r="DA43" i="1"/>
  <c r="DF43" i="1"/>
  <c r="CT98" i="1"/>
  <c r="DD98" i="1"/>
  <c r="CY98" i="1"/>
  <c r="CT26" i="1"/>
  <c r="DD26" i="1"/>
  <c r="CY26" i="1"/>
  <c r="CV156" i="1"/>
  <c r="DF156" i="1"/>
  <c r="DA156" i="1"/>
  <c r="DF42" i="1"/>
  <c r="DA42" i="1"/>
  <c r="CV42" i="1"/>
  <c r="DE42" i="1"/>
  <c r="CZ42" i="1"/>
  <c r="CU42" i="1"/>
  <c r="CV56" i="1"/>
  <c r="DF56" i="1"/>
  <c r="DA56" i="1"/>
  <c r="CZ22" i="1"/>
  <c r="CU22" i="1"/>
  <c r="DF103" i="1"/>
  <c r="CV103" i="1"/>
  <c r="DA103" i="1"/>
  <c r="CU23" i="1"/>
  <c r="DE23" i="1"/>
  <c r="CZ23" i="1"/>
  <c r="DC78" i="1"/>
  <c r="CX78" i="1"/>
  <c r="CV40" i="1"/>
  <c r="DF40" i="1"/>
  <c r="DA40" i="1"/>
  <c r="CT20" i="1"/>
  <c r="DD20" i="1"/>
  <c r="CY20" i="1"/>
  <c r="DD71" i="1"/>
  <c r="CT71" i="1"/>
  <c r="CY71" i="1"/>
  <c r="CV102" i="1"/>
  <c r="DA102" i="1"/>
  <c r="DF102" i="1"/>
  <c r="CU76" i="1"/>
  <c r="CZ76" i="1"/>
  <c r="DE76" i="1"/>
  <c r="CT136" i="1"/>
  <c r="CY136" i="1"/>
  <c r="DD136" i="1"/>
  <c r="CT32" i="1"/>
  <c r="CY32" i="1"/>
  <c r="DD32" i="1"/>
  <c r="CV92" i="1"/>
  <c r="DA92" i="1"/>
  <c r="DF92" i="1"/>
  <c r="CY116" i="1"/>
  <c r="DD116" i="1"/>
  <c r="CT116" i="1"/>
  <c r="CU107" i="1"/>
  <c r="DE107" i="1"/>
  <c r="CZ107" i="1"/>
  <c r="DE41" i="1"/>
  <c r="CZ41" i="1"/>
  <c r="CU41" i="1"/>
  <c r="DF119" i="1"/>
  <c r="DA119" i="1"/>
  <c r="CV119" i="1"/>
  <c r="CU102" i="1"/>
  <c r="CZ102" i="1"/>
  <c r="DE102" i="1"/>
  <c r="CT73" i="1"/>
  <c r="DD73" i="1"/>
  <c r="CY73" i="1"/>
  <c r="CU40" i="1"/>
  <c r="CZ40" i="1"/>
  <c r="DE40" i="1"/>
  <c r="CU43" i="1"/>
  <c r="DE43" i="1"/>
  <c r="CZ43" i="1"/>
  <c r="CU39" i="1"/>
  <c r="CZ39" i="1"/>
  <c r="DE39" i="1"/>
  <c r="CV66" i="1"/>
  <c r="DF66" i="1"/>
  <c r="DA66" i="1"/>
  <c r="DE78" i="1"/>
  <c r="CU78" i="1"/>
  <c r="CZ78" i="1"/>
  <c r="CV38" i="1"/>
  <c r="DA38" i="1"/>
  <c r="DF38" i="1"/>
  <c r="DD124" i="1"/>
  <c r="CY124" i="1"/>
  <c r="CT124" i="1"/>
  <c r="CX43" i="1"/>
  <c r="DC43" i="1"/>
  <c r="DC72" i="1"/>
  <c r="CX72" i="1"/>
  <c r="CV17" i="1"/>
  <c r="DF17" i="1"/>
  <c r="DA17" i="1"/>
  <c r="DC140" i="1"/>
  <c r="CX140" i="1"/>
  <c r="DC74" i="1"/>
  <c r="CX74" i="1"/>
  <c r="DD55" i="1"/>
  <c r="CY55" i="1"/>
  <c r="CT55" i="1"/>
  <c r="DD143" i="1"/>
  <c r="CT143" i="1"/>
  <c r="CY143" i="1"/>
  <c r="DC33" i="1"/>
  <c r="CX33" i="1"/>
  <c r="CU18" i="1"/>
  <c r="CZ18" i="1"/>
  <c r="DE18" i="1"/>
  <c r="CT144" i="1"/>
  <c r="CY144" i="1"/>
  <c r="DD144" i="1"/>
  <c r="CT82" i="1"/>
  <c r="CY82" i="1"/>
  <c r="DD82" i="1"/>
  <c r="CX59" i="1"/>
  <c r="DC59" i="1"/>
  <c r="DC80" i="1"/>
  <c r="CX80" i="1"/>
  <c r="CV19" i="1"/>
  <c r="DF19" i="1"/>
  <c r="DA19" i="1"/>
  <c r="CT34" i="1"/>
  <c r="DD34" i="1"/>
  <c r="CY34" i="1"/>
  <c r="DF138" i="1"/>
  <c r="CV138" i="1"/>
  <c r="DA138" i="1"/>
  <c r="DD36" i="1"/>
  <c r="DC147" i="1"/>
  <c r="CX147" i="1"/>
  <c r="CT43" i="1"/>
  <c r="DD43" i="1"/>
  <c r="CY43" i="1"/>
  <c r="CT54" i="1"/>
  <c r="CY54" i="1"/>
  <c r="DD54" i="1"/>
  <c r="DE124" i="1"/>
  <c r="CU124" i="1"/>
  <c r="CZ124" i="1"/>
  <c r="DD22" i="1"/>
  <c r="CY22" i="1"/>
  <c r="CT22" i="1"/>
  <c r="DF16" i="1"/>
  <c r="CV16" i="1"/>
  <c r="DA16" i="1"/>
  <c r="CV34" i="1"/>
  <c r="DA34" i="1"/>
  <c r="DF34" i="1"/>
  <c r="DF55" i="1"/>
  <c r="DA55" i="1"/>
  <c r="CV55" i="1"/>
  <c r="CV147" i="1"/>
  <c r="DF147" i="1"/>
  <c r="DA147" i="1"/>
  <c r="CU73" i="1"/>
  <c r="CZ73" i="1"/>
  <c r="DE73" i="1"/>
  <c r="DD41" i="1"/>
  <c r="CY41" i="1"/>
  <c r="CT41" i="1"/>
  <c r="CT49" i="1"/>
  <c r="CY49" i="1"/>
  <c r="DD49" i="1"/>
  <c r="CY142" i="1"/>
  <c r="CT142" i="1"/>
  <c r="DD142" i="1"/>
  <c r="DE16" i="1"/>
  <c r="CU16" i="1"/>
  <c r="CZ16" i="1"/>
  <c r="CV140" i="1"/>
  <c r="DA140" i="1"/>
  <c r="DF140" i="1"/>
  <c r="CT151" i="1"/>
  <c r="CY151" i="1"/>
  <c r="DD151" i="1"/>
  <c r="DC16" i="1"/>
  <c r="CX16" i="1"/>
  <c r="DC135" i="1"/>
  <c r="CX135" i="1"/>
  <c r="DF46" i="1"/>
  <c r="CV46" i="1"/>
  <c r="DA46" i="1"/>
  <c r="DD128" i="1"/>
  <c r="CY128" i="1"/>
  <c r="CT128" i="1"/>
  <c r="CT19" i="1"/>
  <c r="DD19" i="1"/>
  <c r="CY19" i="1"/>
  <c r="CT72" i="1"/>
  <c r="CY72" i="1"/>
  <c r="DD72" i="1"/>
  <c r="DC31" i="1"/>
  <c r="CX31" i="1"/>
  <c r="DF41" i="1"/>
  <c r="CV41" i="1"/>
  <c r="DA41" i="1"/>
  <c r="CV49" i="1"/>
  <c r="DF49" i="1"/>
  <c r="DA49" i="1"/>
  <c r="CT123" i="1"/>
  <c r="DD123" i="1"/>
  <c r="CY123" i="1"/>
  <c r="CV105" i="1"/>
  <c r="DA105" i="1"/>
  <c r="DF105" i="1"/>
  <c r="CU19" i="1"/>
  <c r="CZ19" i="1"/>
  <c r="DE19" i="1"/>
  <c r="CV144" i="1"/>
  <c r="DF144" i="1"/>
  <c r="DA144" i="1"/>
  <c r="CT127" i="1"/>
  <c r="CY127" i="1"/>
  <c r="DD127" i="1"/>
  <c r="DA123" i="1"/>
  <c r="CV123" i="1"/>
  <c r="DF123" i="1"/>
  <c r="DC66" i="1"/>
  <c r="CX66" i="1"/>
  <c r="DD80" i="1"/>
  <c r="CT80" i="1"/>
  <c r="CY80" i="1"/>
  <c r="DC28" i="1"/>
  <c r="CX28" i="1"/>
  <c r="CU56" i="1"/>
  <c r="DE56" i="1"/>
  <c r="CZ56" i="1"/>
  <c r="CV100" i="1"/>
  <c r="DA100" i="1"/>
  <c r="DF100" i="1"/>
  <c r="DD138" i="1"/>
  <c r="CY138" i="1"/>
  <c r="CT138" i="1"/>
  <c r="CU120" i="1"/>
  <c r="DE120" i="1"/>
  <c r="CZ120" i="1"/>
  <c r="DC143" i="1"/>
  <c r="CX143" i="1"/>
  <c r="CT18" i="1"/>
  <c r="DD18" i="1"/>
  <c r="CY18" i="1"/>
  <c r="DC146" i="1"/>
  <c r="CX146" i="1"/>
  <c r="CT84" i="1"/>
  <c r="DD84" i="1"/>
  <c r="CY84" i="1"/>
  <c r="DF81" i="1"/>
  <c r="CV81" i="1"/>
  <c r="DA81" i="1"/>
  <c r="CT104" i="1"/>
  <c r="DD104" i="1"/>
  <c r="CY104" i="1"/>
  <c r="CY27" i="1"/>
  <c r="DE58" i="1"/>
  <c r="CZ58" i="1"/>
  <c r="CU58" i="1"/>
  <c r="DA93" i="1"/>
  <c r="CV93" i="1"/>
  <c r="DF93" i="1"/>
  <c r="CU98" i="1"/>
  <c r="CZ98" i="1"/>
  <c r="DE98" i="1"/>
  <c r="CT17" i="1"/>
  <c r="CY17" i="1"/>
  <c r="DD17" i="1"/>
  <c r="DC29" i="1"/>
  <c r="CX29" i="1"/>
  <c r="DE138" i="1"/>
  <c r="CU138" i="1"/>
  <c r="CZ138" i="1"/>
  <c r="CV73" i="1"/>
  <c r="DF73" i="1"/>
  <c r="DA73" i="1"/>
  <c r="CU92" i="1"/>
  <c r="CZ92" i="1"/>
  <c r="DE92" i="1"/>
  <c r="CT120" i="1"/>
  <c r="CY120" i="1"/>
  <c r="DD120" i="1"/>
  <c r="CU24" i="1"/>
  <c r="DE24" i="1"/>
  <c r="CZ24" i="1"/>
  <c r="DE28" i="1"/>
  <c r="CU28" i="1"/>
  <c r="CZ28" i="1"/>
  <c r="CT59" i="1"/>
  <c r="CY59" i="1"/>
  <c r="DD59" i="1"/>
  <c r="CV94" i="1"/>
  <c r="DF94" i="1"/>
  <c r="DA94" i="1"/>
  <c r="CV151" i="1" l="1"/>
  <c r="DD27" i="1"/>
  <c r="DF15" i="1"/>
  <c r="DF22" i="1"/>
  <c r="CT95" i="1"/>
  <c r="CX22" i="1"/>
  <c r="CX139" i="1"/>
  <c r="DD86" i="1"/>
  <c r="DF63" i="1"/>
  <c r="CY44" i="1"/>
  <c r="CT46" i="1"/>
  <c r="DD46" i="1"/>
  <c r="CY46" i="1"/>
  <c r="CY148" i="1"/>
  <c r="CT48" i="1"/>
  <c r="DC51" i="1"/>
  <c r="DF12" i="1"/>
  <c r="CV12" i="1"/>
  <c r="CT64" i="1"/>
  <c r="DD64" i="1"/>
  <c r="CY64" i="1"/>
  <c r="DA12" i="1"/>
  <c r="CT38" i="1"/>
  <c r="DD38" i="1"/>
  <c r="CY38" i="1"/>
  <c r="CX100" i="1"/>
  <c r="DC100" i="1"/>
  <c r="DD48" i="1"/>
  <c r="DA27" i="1"/>
  <c r="CV27" i="1"/>
  <c r="CU44" i="1"/>
  <c r="DE44" i="1"/>
  <c r="CZ44" i="1"/>
  <c r="B154" i="4"/>
  <c r="E154" i="4" s="1"/>
  <c r="B146" i="4"/>
  <c r="E146" i="4" s="1"/>
  <c r="B138" i="4"/>
  <c r="E138" i="4" s="1"/>
  <c r="B157" i="4"/>
  <c r="E157" i="4" s="1"/>
  <c r="B149" i="4"/>
  <c r="E149" i="4" s="1"/>
  <c r="B141" i="4"/>
  <c r="E141" i="4" s="1"/>
  <c r="B152" i="4"/>
  <c r="E152" i="4" s="1"/>
  <c r="B144" i="4"/>
  <c r="E144" i="4" s="1"/>
  <c r="B136" i="4"/>
  <c r="E136" i="4" s="1"/>
  <c r="B155" i="4"/>
  <c r="E155" i="4" s="1"/>
  <c r="B147" i="4"/>
  <c r="E147" i="4" s="1"/>
  <c r="B139" i="4"/>
  <c r="E139" i="4" s="1"/>
  <c r="B158" i="4"/>
  <c r="E158" i="4" s="1"/>
  <c r="B150" i="4"/>
  <c r="E150" i="4" s="1"/>
  <c r="B142" i="4"/>
  <c r="E142" i="4" s="1"/>
  <c r="B153" i="4"/>
  <c r="E153" i="4" s="1"/>
  <c r="B145" i="4"/>
  <c r="E145" i="4" s="1"/>
  <c r="B151" i="4"/>
  <c r="E151" i="4" s="1"/>
  <c r="B143" i="4"/>
  <c r="E143" i="4" s="1"/>
  <c r="B131" i="4"/>
  <c r="E131" i="4" s="1"/>
  <c r="B123" i="4"/>
  <c r="E123" i="4" s="1"/>
  <c r="B115" i="4"/>
  <c r="E115" i="4" s="1"/>
  <c r="B137" i="4"/>
  <c r="E137" i="4" s="1"/>
  <c r="B134" i="4"/>
  <c r="E134" i="4" s="1"/>
  <c r="B126" i="4"/>
  <c r="E126" i="4" s="1"/>
  <c r="B118" i="4"/>
  <c r="E118" i="4" s="1"/>
  <c r="B156" i="4"/>
  <c r="E156" i="4" s="1"/>
  <c r="B129" i="4"/>
  <c r="E129" i="4" s="1"/>
  <c r="B121" i="4"/>
  <c r="E121" i="4" s="1"/>
  <c r="B113" i="4"/>
  <c r="E113" i="4" s="1"/>
  <c r="B105" i="4"/>
  <c r="E105" i="4" s="1"/>
  <c r="B132" i="4"/>
  <c r="E132" i="4" s="1"/>
  <c r="B124" i="4"/>
  <c r="E124" i="4" s="1"/>
  <c r="B116" i="4"/>
  <c r="E116" i="4" s="1"/>
  <c r="B108" i="4"/>
  <c r="E108" i="4" s="1"/>
  <c r="B140" i="4"/>
  <c r="E140" i="4" s="1"/>
  <c r="B135" i="4"/>
  <c r="E135" i="4" s="1"/>
  <c r="B127" i="4"/>
  <c r="E127" i="4" s="1"/>
  <c r="B119" i="4"/>
  <c r="E119" i="4" s="1"/>
  <c r="B111" i="4"/>
  <c r="E111" i="4" s="1"/>
  <c r="B103" i="4"/>
  <c r="E103" i="4" s="1"/>
  <c r="B130" i="4"/>
  <c r="E130" i="4" s="1"/>
  <c r="B122" i="4"/>
  <c r="E122" i="4" s="1"/>
  <c r="B148" i="4"/>
  <c r="E148" i="4" s="1"/>
  <c r="B128" i="4"/>
  <c r="E128" i="4" s="1"/>
  <c r="B120" i="4"/>
  <c r="E120" i="4" s="1"/>
  <c r="B112" i="4"/>
  <c r="E112" i="4" s="1"/>
  <c r="B104" i="4"/>
  <c r="E104" i="4" s="1"/>
  <c r="B117" i="4"/>
  <c r="E117" i="4" s="1"/>
  <c r="B125" i="4"/>
  <c r="E125" i="4" s="1"/>
  <c r="B107" i="4"/>
  <c r="E107" i="4" s="1"/>
  <c r="B101" i="4"/>
  <c r="E101" i="4" s="1"/>
  <c r="B93" i="4"/>
  <c r="E93" i="4" s="1"/>
  <c r="B114" i="4"/>
  <c r="E114" i="4" s="1"/>
  <c r="B99" i="4"/>
  <c r="E99" i="4" s="1"/>
  <c r="B91" i="4"/>
  <c r="E91" i="4" s="1"/>
  <c r="B133" i="4"/>
  <c r="E133" i="4" s="1"/>
  <c r="B109" i="4"/>
  <c r="E109" i="4" s="1"/>
  <c r="B102" i="4"/>
  <c r="E102" i="4" s="1"/>
  <c r="B94" i="4"/>
  <c r="E94" i="4" s="1"/>
  <c r="B89" i="4"/>
  <c r="E89" i="4" s="1"/>
  <c r="B83" i="4"/>
  <c r="E83" i="4" s="1"/>
  <c r="B75" i="4"/>
  <c r="E75" i="4" s="1"/>
  <c r="B67" i="4"/>
  <c r="E67" i="4" s="1"/>
  <c r="B59" i="4"/>
  <c r="E59" i="4" s="1"/>
  <c r="B100" i="4"/>
  <c r="E100" i="4" s="1"/>
  <c r="B86" i="4"/>
  <c r="E86" i="4" s="1"/>
  <c r="B78" i="4"/>
  <c r="E78" i="4" s="1"/>
  <c r="B96" i="4"/>
  <c r="E96" i="4" s="1"/>
  <c r="B92" i="4"/>
  <c r="E92" i="4" s="1"/>
  <c r="B81" i="4"/>
  <c r="E81" i="4" s="1"/>
  <c r="B106" i="4"/>
  <c r="E106" i="4" s="1"/>
  <c r="B88" i="4"/>
  <c r="E88" i="4" s="1"/>
  <c r="B84" i="4"/>
  <c r="E84" i="4" s="1"/>
  <c r="B76" i="4"/>
  <c r="E76" i="4" s="1"/>
  <c r="B68" i="4"/>
  <c r="E68" i="4" s="1"/>
  <c r="B60" i="4"/>
  <c r="E60" i="4" s="1"/>
  <c r="B95" i="4"/>
  <c r="E95" i="4" s="1"/>
  <c r="B87" i="4"/>
  <c r="E87" i="4" s="1"/>
  <c r="B79" i="4"/>
  <c r="E79" i="4" s="1"/>
  <c r="B71" i="4"/>
  <c r="E71" i="4" s="1"/>
  <c r="B63" i="4"/>
  <c r="E63" i="4" s="1"/>
  <c r="B55" i="4"/>
  <c r="E55" i="4" s="1"/>
  <c r="B82" i="4"/>
  <c r="E82" i="4" s="1"/>
  <c r="B74" i="4"/>
  <c r="E74" i="4" s="1"/>
  <c r="B66" i="4"/>
  <c r="E66" i="4" s="1"/>
  <c r="B58" i="4"/>
  <c r="E58" i="4" s="1"/>
  <c r="B110" i="4"/>
  <c r="E110" i="4" s="1"/>
  <c r="B98" i="4"/>
  <c r="E98" i="4" s="1"/>
  <c r="B85" i="4"/>
  <c r="E85" i="4" s="1"/>
  <c r="B77" i="4"/>
  <c r="E77" i="4" s="1"/>
  <c r="B69" i="4"/>
  <c r="E69" i="4" s="1"/>
  <c r="B61" i="4"/>
  <c r="E61" i="4" s="1"/>
  <c r="B53" i="4"/>
  <c r="E53" i="4" s="1"/>
  <c r="B72" i="4"/>
  <c r="E72" i="4" s="1"/>
  <c r="B45" i="4"/>
  <c r="E45" i="4" s="1"/>
  <c r="B37" i="4"/>
  <c r="E37" i="4" s="1"/>
  <c r="B29" i="4"/>
  <c r="E29" i="4" s="1"/>
  <c r="B21" i="4"/>
  <c r="E21" i="4" s="1"/>
  <c r="B48" i="4"/>
  <c r="E48" i="4" s="1"/>
  <c r="B40" i="4"/>
  <c r="E40" i="4" s="1"/>
  <c r="B32" i="4"/>
  <c r="E32" i="4" s="1"/>
  <c r="B24" i="4"/>
  <c r="E24" i="4" s="1"/>
  <c r="B51" i="4"/>
  <c r="E51" i="4" s="1"/>
  <c r="B43" i="4"/>
  <c r="E43" i="4" s="1"/>
  <c r="B35" i="4"/>
  <c r="E35" i="4" s="1"/>
  <c r="B27" i="4"/>
  <c r="E27" i="4" s="1"/>
  <c r="B19" i="4"/>
  <c r="E19" i="4" s="1"/>
  <c r="B46" i="4"/>
  <c r="E46" i="4" s="1"/>
  <c r="B38" i="4"/>
  <c r="E38" i="4" s="1"/>
  <c r="B30" i="4"/>
  <c r="E30" i="4" s="1"/>
  <c r="B57" i="4"/>
  <c r="E57" i="4" s="1"/>
  <c r="B54" i="4"/>
  <c r="E54" i="4" s="1"/>
  <c r="B49" i="4"/>
  <c r="E49" i="4" s="1"/>
  <c r="B41" i="4"/>
  <c r="E41" i="4" s="1"/>
  <c r="B33" i="4"/>
  <c r="E33" i="4" s="1"/>
  <c r="B25" i="4"/>
  <c r="E25" i="4" s="1"/>
  <c r="B65" i="4"/>
  <c r="E65" i="4" s="1"/>
  <c r="B62" i="4"/>
  <c r="E62" i="4" s="1"/>
  <c r="B52" i="4"/>
  <c r="E52" i="4" s="1"/>
  <c r="B44" i="4"/>
  <c r="E44" i="4" s="1"/>
  <c r="B36" i="4"/>
  <c r="E36" i="4" s="1"/>
  <c r="B28" i="4"/>
  <c r="E28" i="4" s="1"/>
  <c r="B80" i="4"/>
  <c r="E80" i="4" s="1"/>
  <c r="B64" i="4"/>
  <c r="E64" i="4" s="1"/>
  <c r="B50" i="4"/>
  <c r="E50" i="4" s="1"/>
  <c r="B42" i="4"/>
  <c r="E42" i="4" s="1"/>
  <c r="B34" i="4"/>
  <c r="E34" i="4" s="1"/>
  <c r="B26" i="4"/>
  <c r="E26" i="4" s="1"/>
  <c r="B18" i="4"/>
  <c r="E18" i="4" s="1"/>
  <c r="B31" i="4"/>
  <c r="E31" i="4" s="1"/>
  <c r="B13" i="4"/>
  <c r="E13" i="4" s="1"/>
  <c r="B70" i="4"/>
  <c r="E70" i="4" s="1"/>
  <c r="B20" i="4"/>
  <c r="E20" i="4" s="1"/>
  <c r="B16" i="4"/>
  <c r="E16" i="4" s="1"/>
  <c r="B97" i="4"/>
  <c r="E97" i="4" s="1"/>
  <c r="B11" i="4"/>
  <c r="E11" i="4" s="1"/>
  <c r="B39" i="4"/>
  <c r="E39" i="4" s="1"/>
  <c r="B14" i="4"/>
  <c r="E14" i="4" s="1"/>
  <c r="B90" i="4"/>
  <c r="E90" i="4" s="1"/>
  <c r="B56" i="4"/>
  <c r="E56" i="4" s="1"/>
  <c r="B23" i="4"/>
  <c r="E23" i="4" s="1"/>
  <c r="B22" i="4"/>
  <c r="E22" i="4" s="1"/>
  <c r="B17" i="4"/>
  <c r="E17" i="4" s="1"/>
  <c r="B9" i="4"/>
  <c r="E9" i="4" s="1"/>
  <c r="B73" i="4"/>
  <c r="E73" i="4" s="1"/>
  <c r="B12" i="4"/>
  <c r="E12" i="4" s="1"/>
  <c r="B10" i="4"/>
  <c r="E10" i="4" s="1"/>
  <c r="B47" i="4"/>
  <c r="E47" i="4" s="1"/>
  <c r="B15" i="4"/>
  <c r="E15" i="4" s="1"/>
  <c r="DF151" i="1"/>
  <c r="C157" i="4"/>
  <c r="F157" i="4" s="1"/>
  <c r="DF155" i="1"/>
  <c r="DC34" i="1"/>
  <c r="CX34" i="1"/>
  <c r="DA154" i="1"/>
  <c r="DF154" i="1"/>
  <c r="CV154" i="1"/>
  <c r="C149" i="4"/>
  <c r="F149" i="4" s="1"/>
  <c r="C141" i="4"/>
  <c r="F141" i="4" s="1"/>
  <c r="C152" i="4"/>
  <c r="F152" i="4" s="1"/>
  <c r="C144" i="4"/>
  <c r="F144" i="4" s="1"/>
  <c r="C136" i="4"/>
  <c r="F136" i="4" s="1"/>
  <c r="C155" i="4"/>
  <c r="F155" i="4" s="1"/>
  <c r="C147" i="4"/>
  <c r="F147" i="4" s="1"/>
  <c r="C158" i="4"/>
  <c r="F158" i="4" s="1"/>
  <c r="C150" i="4"/>
  <c r="F150" i="4" s="1"/>
  <c r="C142" i="4"/>
  <c r="F142" i="4" s="1"/>
  <c r="C153" i="4"/>
  <c r="F153" i="4" s="1"/>
  <c r="C145" i="4"/>
  <c r="F145" i="4" s="1"/>
  <c r="C137" i="4"/>
  <c r="F137" i="4" s="1"/>
  <c r="C156" i="4"/>
  <c r="F156" i="4" s="1"/>
  <c r="C154" i="4"/>
  <c r="F154" i="4" s="1"/>
  <c r="C146" i="4"/>
  <c r="F146" i="4" s="1"/>
  <c r="C138" i="4"/>
  <c r="F138" i="4" s="1"/>
  <c r="C134" i="4"/>
  <c r="F134" i="4" s="1"/>
  <c r="C126" i="4"/>
  <c r="F126" i="4" s="1"/>
  <c r="C118" i="4"/>
  <c r="F118" i="4" s="1"/>
  <c r="C110" i="4"/>
  <c r="F110" i="4" s="1"/>
  <c r="C129" i="4"/>
  <c r="F129" i="4" s="1"/>
  <c r="C121" i="4"/>
  <c r="F121" i="4" s="1"/>
  <c r="C132" i="4"/>
  <c r="F132" i="4" s="1"/>
  <c r="C124" i="4"/>
  <c r="F124" i="4" s="1"/>
  <c r="C116" i="4"/>
  <c r="F116" i="4" s="1"/>
  <c r="C108" i="4"/>
  <c r="F108" i="4" s="1"/>
  <c r="C140" i="4"/>
  <c r="F140" i="4" s="1"/>
  <c r="C127" i="4"/>
  <c r="F127" i="4" s="1"/>
  <c r="C119" i="4"/>
  <c r="F119" i="4" s="1"/>
  <c r="C111" i="4"/>
  <c r="F111" i="4" s="1"/>
  <c r="C103" i="4"/>
  <c r="F103" i="4" s="1"/>
  <c r="C151" i="4"/>
  <c r="F151" i="4" s="1"/>
  <c r="C130" i="4"/>
  <c r="F130" i="4" s="1"/>
  <c r="C122" i="4"/>
  <c r="F122" i="4" s="1"/>
  <c r="C106" i="4"/>
  <c r="F106" i="4" s="1"/>
  <c r="C133" i="4"/>
  <c r="F133" i="4" s="1"/>
  <c r="C125" i="4"/>
  <c r="F125" i="4" s="1"/>
  <c r="C117" i="4"/>
  <c r="F117" i="4" s="1"/>
  <c r="C131" i="4"/>
  <c r="F131" i="4" s="1"/>
  <c r="C123" i="4"/>
  <c r="F123" i="4" s="1"/>
  <c r="C115" i="4"/>
  <c r="F115" i="4" s="1"/>
  <c r="C128" i="4"/>
  <c r="F128" i="4" s="1"/>
  <c r="C113" i="4"/>
  <c r="F113" i="4" s="1"/>
  <c r="C105" i="4"/>
  <c r="F105" i="4" s="1"/>
  <c r="C112" i="4"/>
  <c r="F112" i="4" s="1"/>
  <c r="C96" i="4"/>
  <c r="F96" i="4" s="1"/>
  <c r="C88" i="4"/>
  <c r="F88" i="4" s="1"/>
  <c r="C120" i="4"/>
  <c r="F120" i="4" s="1"/>
  <c r="C102" i="4"/>
  <c r="F102" i="4" s="1"/>
  <c r="C94" i="4"/>
  <c r="F94" i="4" s="1"/>
  <c r="C104" i="4"/>
  <c r="F104" i="4" s="1"/>
  <c r="C97" i="4"/>
  <c r="F97" i="4" s="1"/>
  <c r="C89" i="4"/>
  <c r="F89" i="4" s="1"/>
  <c r="C101" i="4"/>
  <c r="F101" i="4" s="1"/>
  <c r="C100" i="4"/>
  <c r="F100" i="4" s="1"/>
  <c r="C86" i="4"/>
  <c r="F86" i="4" s="1"/>
  <c r="C78" i="4"/>
  <c r="F78" i="4" s="1"/>
  <c r="C70" i="4"/>
  <c r="F70" i="4" s="1"/>
  <c r="C62" i="4"/>
  <c r="F62" i="4" s="1"/>
  <c r="C54" i="4"/>
  <c r="F54" i="4" s="1"/>
  <c r="C92" i="4"/>
  <c r="F92" i="4" s="1"/>
  <c r="C81" i="4"/>
  <c r="F81" i="4" s="1"/>
  <c r="C76" i="4"/>
  <c r="F76" i="4" s="1"/>
  <c r="C99" i="4"/>
  <c r="F99" i="4" s="1"/>
  <c r="C95" i="4"/>
  <c r="F95" i="4" s="1"/>
  <c r="C87" i="4"/>
  <c r="F87" i="4" s="1"/>
  <c r="C79" i="4"/>
  <c r="F79" i="4" s="1"/>
  <c r="C71" i="4"/>
  <c r="F71" i="4" s="1"/>
  <c r="C63" i="4"/>
  <c r="F63" i="4" s="1"/>
  <c r="C91" i="4"/>
  <c r="F91" i="4" s="1"/>
  <c r="C82" i="4"/>
  <c r="F82" i="4" s="1"/>
  <c r="C74" i="4"/>
  <c r="F74" i="4" s="1"/>
  <c r="C66" i="4"/>
  <c r="F66" i="4" s="1"/>
  <c r="C58" i="4"/>
  <c r="F58" i="4" s="1"/>
  <c r="C98" i="4"/>
  <c r="F98" i="4" s="1"/>
  <c r="C85" i="4"/>
  <c r="F85" i="4" s="1"/>
  <c r="C77" i="4"/>
  <c r="F77" i="4" s="1"/>
  <c r="C69" i="4"/>
  <c r="F69" i="4" s="1"/>
  <c r="C61" i="4"/>
  <c r="F61" i="4" s="1"/>
  <c r="C53" i="4"/>
  <c r="F53" i="4" s="1"/>
  <c r="C90" i="4"/>
  <c r="F90" i="4" s="1"/>
  <c r="C80" i="4"/>
  <c r="F80" i="4" s="1"/>
  <c r="C72" i="4"/>
  <c r="F72" i="4" s="1"/>
  <c r="C64" i="4"/>
  <c r="F64" i="4" s="1"/>
  <c r="C56" i="4"/>
  <c r="F56" i="4" s="1"/>
  <c r="C48" i="4"/>
  <c r="F48" i="4" s="1"/>
  <c r="C40" i="4"/>
  <c r="F40" i="4" s="1"/>
  <c r="C32" i="4"/>
  <c r="F32" i="4" s="1"/>
  <c r="C24" i="4"/>
  <c r="F24" i="4" s="1"/>
  <c r="C75" i="4"/>
  <c r="F75" i="4" s="1"/>
  <c r="C51" i="4"/>
  <c r="F51" i="4" s="1"/>
  <c r="C43" i="4"/>
  <c r="F43" i="4" s="1"/>
  <c r="C35" i="4"/>
  <c r="F35" i="4" s="1"/>
  <c r="C27" i="4"/>
  <c r="F27" i="4" s="1"/>
  <c r="C46" i="4"/>
  <c r="F46" i="4" s="1"/>
  <c r="C38" i="4"/>
  <c r="F38" i="4" s="1"/>
  <c r="C30" i="4"/>
  <c r="F30" i="4" s="1"/>
  <c r="C22" i="4"/>
  <c r="F22" i="4" s="1"/>
  <c r="C60" i="4"/>
  <c r="F60" i="4" s="1"/>
  <c r="C57" i="4"/>
  <c r="F57" i="4" s="1"/>
  <c r="C49" i="4"/>
  <c r="F49" i="4" s="1"/>
  <c r="C41" i="4"/>
  <c r="F41" i="4" s="1"/>
  <c r="C33" i="4"/>
  <c r="F33" i="4" s="1"/>
  <c r="C25" i="4"/>
  <c r="F25" i="4" s="1"/>
  <c r="C83" i="4"/>
  <c r="F83" i="4" s="1"/>
  <c r="C68" i="4"/>
  <c r="F68" i="4" s="1"/>
  <c r="C65" i="4"/>
  <c r="F65" i="4" s="1"/>
  <c r="C52" i="4"/>
  <c r="F52" i="4" s="1"/>
  <c r="C44" i="4"/>
  <c r="F44" i="4" s="1"/>
  <c r="C36" i="4"/>
  <c r="F36" i="4" s="1"/>
  <c r="C28" i="4"/>
  <c r="F28" i="4" s="1"/>
  <c r="C73" i="4"/>
  <c r="F73" i="4" s="1"/>
  <c r="C59" i="4"/>
  <c r="F59" i="4" s="1"/>
  <c r="C47" i="4"/>
  <c r="F47" i="4" s="1"/>
  <c r="C39" i="4"/>
  <c r="F39" i="4" s="1"/>
  <c r="C31" i="4"/>
  <c r="F31" i="4" s="1"/>
  <c r="C45" i="4"/>
  <c r="F45" i="4" s="1"/>
  <c r="C37" i="4"/>
  <c r="F37" i="4" s="1"/>
  <c r="C29" i="4"/>
  <c r="F29" i="4" s="1"/>
  <c r="C21" i="4"/>
  <c r="F21" i="4" s="1"/>
  <c r="C42" i="4"/>
  <c r="F42" i="4" s="1"/>
  <c r="C20" i="4"/>
  <c r="F20" i="4" s="1"/>
  <c r="C16" i="4"/>
  <c r="F16" i="4" s="1"/>
  <c r="C11" i="4"/>
  <c r="F11" i="4" s="1"/>
  <c r="C26" i="4"/>
  <c r="F26" i="4" s="1"/>
  <c r="C19" i="4"/>
  <c r="F19" i="4" s="1"/>
  <c r="C14" i="4"/>
  <c r="F14" i="4" s="1"/>
  <c r="C50" i="4"/>
  <c r="F50" i="4" s="1"/>
  <c r="C23" i="4"/>
  <c r="F23" i="4" s="1"/>
  <c r="C17" i="4"/>
  <c r="F17" i="4" s="1"/>
  <c r="C9" i="4"/>
  <c r="F9" i="4" s="1"/>
  <c r="C12" i="4"/>
  <c r="F12" i="4" s="1"/>
  <c r="C67" i="4"/>
  <c r="F67" i="4" s="1"/>
  <c r="C34" i="4"/>
  <c r="F34" i="4" s="1"/>
  <c r="C18" i="4"/>
  <c r="F18" i="4" s="1"/>
  <c r="C15" i="4"/>
  <c r="F15" i="4" s="1"/>
  <c r="C13" i="4"/>
  <c r="F13" i="4" s="1"/>
  <c r="C10" i="4"/>
  <c r="F10" i="4" s="1"/>
  <c r="DC104" i="1"/>
  <c r="CX104" i="1"/>
  <c r="CX40" i="1"/>
  <c r="DC40" i="1"/>
  <c r="DA125" i="1"/>
  <c r="CV125" i="1"/>
  <c r="CZ147" i="1"/>
  <c r="CU147" i="1"/>
  <c r="DE147" i="1"/>
  <c r="D152" i="4"/>
  <c r="G152" i="4" s="1"/>
  <c r="D144" i="4"/>
  <c r="G144" i="4" s="1"/>
  <c r="D136" i="4"/>
  <c r="G136" i="4" s="1"/>
  <c r="D155" i="4"/>
  <c r="G155" i="4" s="1"/>
  <c r="D147" i="4"/>
  <c r="G147" i="4" s="1"/>
  <c r="D139" i="4"/>
  <c r="G139" i="4" s="1"/>
  <c r="D158" i="4"/>
  <c r="G158" i="4" s="1"/>
  <c r="D150" i="4"/>
  <c r="G150" i="4" s="1"/>
  <c r="D142" i="4"/>
  <c r="G142" i="4" s="1"/>
  <c r="D153" i="4"/>
  <c r="G153" i="4" s="1"/>
  <c r="D145" i="4"/>
  <c r="G145" i="4" s="1"/>
  <c r="D137" i="4"/>
  <c r="G137" i="4" s="1"/>
  <c r="D156" i="4"/>
  <c r="G156" i="4" s="1"/>
  <c r="D148" i="4"/>
  <c r="G148" i="4" s="1"/>
  <c r="D140" i="4"/>
  <c r="G140" i="4" s="1"/>
  <c r="D151" i="4"/>
  <c r="G151" i="4" s="1"/>
  <c r="D143" i="4"/>
  <c r="G143" i="4" s="1"/>
  <c r="D157" i="4"/>
  <c r="G157" i="4" s="1"/>
  <c r="D149" i="4"/>
  <c r="G149" i="4" s="1"/>
  <c r="D141" i="4"/>
  <c r="G141" i="4" s="1"/>
  <c r="D129" i="4"/>
  <c r="G129" i="4" s="1"/>
  <c r="D121" i="4"/>
  <c r="G121" i="4" s="1"/>
  <c r="D113" i="4"/>
  <c r="G113" i="4" s="1"/>
  <c r="D154" i="4"/>
  <c r="G154" i="4" s="1"/>
  <c r="D132" i="4"/>
  <c r="G132" i="4" s="1"/>
  <c r="D124" i="4"/>
  <c r="G124" i="4" s="1"/>
  <c r="D116" i="4"/>
  <c r="G116" i="4" s="1"/>
  <c r="D138" i="4"/>
  <c r="G138" i="4" s="1"/>
  <c r="D135" i="4"/>
  <c r="G135" i="4" s="1"/>
  <c r="D127" i="4"/>
  <c r="G127" i="4" s="1"/>
  <c r="D119" i="4"/>
  <c r="G119" i="4" s="1"/>
  <c r="D111" i="4"/>
  <c r="G111" i="4" s="1"/>
  <c r="D103" i="4"/>
  <c r="G103" i="4" s="1"/>
  <c r="D130" i="4"/>
  <c r="G130" i="4" s="1"/>
  <c r="D122" i="4"/>
  <c r="G122" i="4" s="1"/>
  <c r="D114" i="4"/>
  <c r="G114" i="4" s="1"/>
  <c r="D106" i="4"/>
  <c r="G106" i="4" s="1"/>
  <c r="D133" i="4"/>
  <c r="G133" i="4" s="1"/>
  <c r="D125" i="4"/>
  <c r="G125" i="4" s="1"/>
  <c r="D117" i="4"/>
  <c r="G117" i="4" s="1"/>
  <c r="D109" i="4"/>
  <c r="G109" i="4" s="1"/>
  <c r="D128" i="4"/>
  <c r="G128" i="4" s="1"/>
  <c r="D120" i="4"/>
  <c r="G120" i="4" s="1"/>
  <c r="D134" i="4"/>
  <c r="G134" i="4" s="1"/>
  <c r="D126" i="4"/>
  <c r="G126" i="4" s="1"/>
  <c r="D118" i="4"/>
  <c r="G118" i="4" s="1"/>
  <c r="D110" i="4"/>
  <c r="G110" i="4" s="1"/>
  <c r="D99" i="4"/>
  <c r="G99" i="4" s="1"/>
  <c r="D91" i="4"/>
  <c r="G91" i="4" s="1"/>
  <c r="D108" i="4"/>
  <c r="G108" i="4" s="1"/>
  <c r="D102" i="4"/>
  <c r="G102" i="4" s="1"/>
  <c r="D146" i="4"/>
  <c r="G146" i="4" s="1"/>
  <c r="D131" i="4"/>
  <c r="G131" i="4" s="1"/>
  <c r="D104" i="4"/>
  <c r="G104" i="4" s="1"/>
  <c r="D97" i="4"/>
  <c r="G97" i="4" s="1"/>
  <c r="D89" i="4"/>
  <c r="G89" i="4" s="1"/>
  <c r="D100" i="4"/>
  <c r="G100" i="4" s="1"/>
  <c r="D92" i="4"/>
  <c r="G92" i="4" s="1"/>
  <c r="D105" i="4"/>
  <c r="G105" i="4" s="1"/>
  <c r="D81" i="4"/>
  <c r="G81" i="4" s="1"/>
  <c r="D73" i="4"/>
  <c r="G73" i="4" s="1"/>
  <c r="D65" i="4"/>
  <c r="G65" i="4" s="1"/>
  <c r="D57" i="4"/>
  <c r="G57" i="4" s="1"/>
  <c r="D96" i="4"/>
  <c r="G96" i="4" s="1"/>
  <c r="D84" i="4"/>
  <c r="G84" i="4" s="1"/>
  <c r="D76" i="4"/>
  <c r="G76" i="4" s="1"/>
  <c r="D115" i="4"/>
  <c r="G115" i="4" s="1"/>
  <c r="D95" i="4"/>
  <c r="G95" i="4" s="1"/>
  <c r="D88" i="4"/>
  <c r="G88" i="4" s="1"/>
  <c r="D87" i="4"/>
  <c r="G87" i="4" s="1"/>
  <c r="D79" i="4"/>
  <c r="G79" i="4" s="1"/>
  <c r="D82" i="4"/>
  <c r="G82" i="4" s="1"/>
  <c r="D74" i="4"/>
  <c r="G74" i="4" s="1"/>
  <c r="D66" i="4"/>
  <c r="G66" i="4" s="1"/>
  <c r="D58" i="4"/>
  <c r="G58" i="4" s="1"/>
  <c r="D98" i="4"/>
  <c r="G98" i="4" s="1"/>
  <c r="D85" i="4"/>
  <c r="G85" i="4" s="1"/>
  <c r="D77" i="4"/>
  <c r="G77" i="4" s="1"/>
  <c r="D69" i="4"/>
  <c r="G69" i="4" s="1"/>
  <c r="D61" i="4"/>
  <c r="G61" i="4" s="1"/>
  <c r="D94" i="4"/>
  <c r="G94" i="4" s="1"/>
  <c r="D90" i="4"/>
  <c r="G90" i="4" s="1"/>
  <c r="D80" i="4"/>
  <c r="G80" i="4" s="1"/>
  <c r="D72" i="4"/>
  <c r="G72" i="4" s="1"/>
  <c r="D64" i="4"/>
  <c r="G64" i="4" s="1"/>
  <c r="D56" i="4"/>
  <c r="G56" i="4" s="1"/>
  <c r="D123" i="4"/>
  <c r="G123" i="4" s="1"/>
  <c r="D112" i="4"/>
  <c r="G112" i="4" s="1"/>
  <c r="D107" i="4"/>
  <c r="G107" i="4" s="1"/>
  <c r="D83" i="4"/>
  <c r="G83" i="4" s="1"/>
  <c r="D75" i="4"/>
  <c r="G75" i="4" s="1"/>
  <c r="D67" i="4"/>
  <c r="G67" i="4" s="1"/>
  <c r="D59" i="4"/>
  <c r="G59" i="4" s="1"/>
  <c r="D53" i="4"/>
  <c r="G53" i="4" s="1"/>
  <c r="D51" i="4"/>
  <c r="G51" i="4" s="1"/>
  <c r="D43" i="4"/>
  <c r="G43" i="4" s="1"/>
  <c r="D35" i="4"/>
  <c r="G35" i="4" s="1"/>
  <c r="D27" i="4"/>
  <c r="G27" i="4" s="1"/>
  <c r="D19" i="4"/>
  <c r="G19" i="4" s="1"/>
  <c r="D86" i="4"/>
  <c r="G86" i="4" s="1"/>
  <c r="D55" i="4"/>
  <c r="G55" i="4" s="1"/>
  <c r="D46" i="4"/>
  <c r="G46" i="4" s="1"/>
  <c r="D38" i="4"/>
  <c r="G38" i="4" s="1"/>
  <c r="D30" i="4"/>
  <c r="G30" i="4" s="1"/>
  <c r="D63" i="4"/>
  <c r="G63" i="4" s="1"/>
  <c r="D60" i="4"/>
  <c r="G60" i="4" s="1"/>
  <c r="D49" i="4"/>
  <c r="G49" i="4" s="1"/>
  <c r="D41" i="4"/>
  <c r="G41" i="4" s="1"/>
  <c r="D33" i="4"/>
  <c r="G33" i="4" s="1"/>
  <c r="D25" i="4"/>
  <c r="G25" i="4" s="1"/>
  <c r="D71" i="4"/>
  <c r="G71" i="4" s="1"/>
  <c r="D68" i="4"/>
  <c r="G68" i="4" s="1"/>
  <c r="D54" i="4"/>
  <c r="G54" i="4" s="1"/>
  <c r="D52" i="4"/>
  <c r="G52" i="4" s="1"/>
  <c r="D44" i="4"/>
  <c r="G44" i="4" s="1"/>
  <c r="D36" i="4"/>
  <c r="G36" i="4" s="1"/>
  <c r="D28" i="4"/>
  <c r="G28" i="4" s="1"/>
  <c r="D62" i="4"/>
  <c r="G62" i="4" s="1"/>
  <c r="D47" i="4"/>
  <c r="G47" i="4" s="1"/>
  <c r="D39" i="4"/>
  <c r="G39" i="4" s="1"/>
  <c r="D31" i="4"/>
  <c r="G31" i="4" s="1"/>
  <c r="D23" i="4"/>
  <c r="G23" i="4" s="1"/>
  <c r="D101" i="4"/>
  <c r="G101" i="4" s="1"/>
  <c r="D70" i="4"/>
  <c r="G70" i="4" s="1"/>
  <c r="D50" i="4"/>
  <c r="G50" i="4" s="1"/>
  <c r="D42" i="4"/>
  <c r="G42" i="4" s="1"/>
  <c r="D34" i="4"/>
  <c r="G34" i="4" s="1"/>
  <c r="D26" i="4"/>
  <c r="G26" i="4" s="1"/>
  <c r="D93" i="4"/>
  <c r="G93" i="4" s="1"/>
  <c r="D48" i="4"/>
  <c r="G48" i="4" s="1"/>
  <c r="D40" i="4"/>
  <c r="G40" i="4" s="1"/>
  <c r="D32" i="4"/>
  <c r="G32" i="4" s="1"/>
  <c r="D24" i="4"/>
  <c r="G24" i="4" s="1"/>
  <c r="D11" i="4"/>
  <c r="G11" i="4" s="1"/>
  <c r="D78" i="4"/>
  <c r="G78" i="4" s="1"/>
  <c r="D14" i="4"/>
  <c r="G14" i="4" s="1"/>
  <c r="D37" i="4"/>
  <c r="G37" i="4" s="1"/>
  <c r="D17" i="4"/>
  <c r="G17" i="4" s="1"/>
  <c r="D9" i="4"/>
  <c r="G9" i="4" s="1"/>
  <c r="D22" i="4"/>
  <c r="G22" i="4" s="1"/>
  <c r="D12" i="4"/>
  <c r="G12" i="4" s="1"/>
  <c r="D18" i="4"/>
  <c r="G18" i="4" s="1"/>
  <c r="D15" i="4"/>
  <c r="G15" i="4" s="1"/>
  <c r="D45" i="4"/>
  <c r="G45" i="4" s="1"/>
  <c r="D10" i="4"/>
  <c r="G10" i="4" s="1"/>
  <c r="D16" i="4"/>
  <c r="G16" i="4" s="1"/>
  <c r="D21" i="4"/>
  <c r="G21" i="4" s="1"/>
  <c r="D13" i="4"/>
  <c r="G13" i="4" s="1"/>
  <c r="D29" i="4"/>
  <c r="G29" i="4" s="1"/>
  <c r="D20" i="4"/>
  <c r="G20" i="4" s="1"/>
  <c r="CX156" i="1"/>
  <c r="DC156" i="1"/>
  <c r="CU149" i="1"/>
  <c r="CZ149" i="1"/>
  <c r="DE149" i="1"/>
  <c r="DD115" i="1"/>
  <c r="CT115" i="1"/>
  <c r="DC36" i="1"/>
  <c r="CX36" i="1"/>
  <c r="CV15" i="1"/>
  <c r="DA22" i="1"/>
  <c r="CV44" i="1"/>
  <c r="DF44" i="1"/>
  <c r="DA44" i="1"/>
  <c r="DA96" i="1"/>
  <c r="DF96" i="1"/>
  <c r="CV96" i="1"/>
  <c r="DA86" i="1"/>
  <c r="DF86" i="1"/>
  <c r="CV86" i="1"/>
  <c r="CX141" i="1"/>
  <c r="DC141" i="1"/>
  <c r="CZ148" i="1"/>
  <c r="DE148" i="1"/>
  <c r="CU148" i="1"/>
  <c r="CY36" i="1"/>
  <c r="DC93" i="1"/>
  <c r="CX93" i="1"/>
  <c r="CY83" i="1"/>
  <c r="DD83" i="1"/>
  <c r="CT83" i="1"/>
  <c r="DC89" i="1"/>
  <c r="CX89" i="1"/>
  <c r="CT100" i="1"/>
  <c r="DD100" i="1"/>
  <c r="CY100" i="1"/>
  <c r="DC27" i="1"/>
  <c r="CX27" i="1"/>
  <c r="CV153" i="1"/>
  <c r="DF153" i="1"/>
  <c r="DA153" i="1"/>
  <c r="DC42" i="1"/>
  <c r="CX42" i="1"/>
  <c r="CY139" i="1"/>
  <c r="DD139" i="1"/>
  <c r="CT139" i="1"/>
  <c r="CZ93" i="1"/>
  <c r="DE93" i="1"/>
  <c r="CU93" i="1"/>
  <c r="CZ51" i="1"/>
  <c r="CU51" i="1"/>
  <c r="DE51" i="1"/>
  <c r="DC149" i="1"/>
  <c r="CX149" i="1"/>
  <c r="DF71" i="1"/>
  <c r="DA71" i="1"/>
  <c r="CV71" i="1"/>
  <c r="DD141" i="1"/>
  <c r="CT141" i="1"/>
  <c r="CY141" i="1"/>
  <c r="CZ155" i="1"/>
  <c r="CU155" i="1"/>
  <c r="DE155" i="1"/>
  <c r="DC12" i="1"/>
  <c r="CX12" i="1"/>
  <c r="CZ154" i="1"/>
  <c r="DA148" i="1"/>
  <c r="DF148" i="1"/>
  <c r="CV148" i="1"/>
  <c r="CZ48" i="1"/>
  <c r="DE48" i="1"/>
  <c r="CU48" i="1"/>
  <c r="DE46" i="1"/>
  <c r="CU46" i="1"/>
  <c r="CZ46" i="1"/>
  <c r="CX24" i="1"/>
  <c r="DC24" i="1"/>
  <c r="CX95" i="1"/>
  <c r="DC95" i="1"/>
  <c r="CX151" i="1"/>
  <c r="DC151" i="1"/>
  <c r="DC71" i="1"/>
  <c r="CX71" i="1"/>
  <c r="DA141" i="1"/>
  <c r="CV141" i="1"/>
  <c r="DF141" i="1"/>
  <c r="CV51" i="1"/>
  <c r="DF51" i="1"/>
  <c r="DA51" i="1"/>
  <c r="CX77" i="1"/>
  <c r="DC77" i="1"/>
  <c r="CX63" i="1"/>
  <c r="DC63" i="1"/>
  <c r="CU154" i="1"/>
  <c r="CU17" i="1"/>
  <c r="DE17" i="1"/>
  <c r="CZ17" i="1"/>
  <c r="CY113" i="1"/>
  <c r="DD113" i="1"/>
  <c r="CT113" i="1"/>
  <c r="DD89" i="1"/>
  <c r="CT89" i="1"/>
  <c r="CY89" i="1"/>
  <c r="CX155" i="1"/>
  <c r="DC155" i="1"/>
  <c r="DA77" i="1"/>
  <c r="DF77" i="1"/>
  <c r="CV77" i="1"/>
  <c r="CZ99" i="1"/>
  <c r="DE99" i="1"/>
  <c r="CU99" i="1"/>
  <c r="CZ89" i="1"/>
  <c r="DE89" i="1"/>
  <c r="CU89" i="1"/>
  <c r="CU139" i="1"/>
  <c r="DE139" i="1"/>
  <c r="CZ139" i="1"/>
  <c r="DD112" i="1"/>
  <c r="CY112" i="1"/>
  <c r="CT112" i="1"/>
  <c r="DC18" i="1"/>
  <c r="CX18" i="1"/>
  <c r="DC15" i="1"/>
  <c r="CX15" i="1"/>
  <c r="CV99" i="1"/>
  <c r="DA99" i="1"/>
  <c r="DF99" i="1"/>
  <c r="CZ86" i="1"/>
  <c r="DE86" i="1"/>
  <c r="CU86" i="1"/>
  <c r="CT24" i="1"/>
  <c r="DD24" i="1"/>
  <c r="CY24" i="1"/>
  <c r="CZ63" i="1"/>
  <c r="CU63" i="1"/>
  <c r="DE63" i="1"/>
  <c r="CU36" i="1"/>
  <c r="CZ36" i="1"/>
  <c r="DE36" i="1"/>
  <c r="DC148" i="1"/>
  <c r="CX148" i="1"/>
  <c r="DA89" i="1"/>
  <c r="CV89" i="1"/>
  <c r="DF89" i="1"/>
  <c r="CU53" i="1"/>
  <c r="CZ53" i="1"/>
  <c r="DE53" i="1"/>
  <c r="CX96" i="1"/>
  <c r="DC96" i="1"/>
  <c r="DC99" i="1"/>
  <c r="CX99" i="1"/>
  <c r="DA113" i="1"/>
  <c r="DF113" i="1"/>
  <c r="CV113" i="1"/>
  <c r="DD103" i="1"/>
  <c r="CY103" i="1"/>
  <c r="CT103" i="1"/>
  <c r="DC138" i="1"/>
  <c r="CX138" i="1"/>
  <c r="CV139" i="1"/>
  <c r="DF139" i="1"/>
  <c r="DA139" i="1"/>
  <c r="DD93" i="1"/>
  <c r="CT93" i="1"/>
  <c r="CY93" i="1"/>
  <c r="DC64" i="1"/>
  <c r="CX64" i="1"/>
  <c r="CZ141" i="1"/>
  <c r="CU141" i="1"/>
  <c r="DE141" i="1"/>
  <c r="DD77" i="1"/>
  <c r="CT77" i="1"/>
  <c r="CY77" i="1"/>
  <c r="I38" i="4" l="1"/>
  <c r="H38" i="4"/>
  <c r="J38" i="4" s="1"/>
  <c r="M38" i="4" s="1"/>
  <c r="I114" i="4"/>
  <c r="I22" i="4"/>
  <c r="H22" i="4"/>
  <c r="K22" i="4" s="1"/>
  <c r="N22" i="4" s="1"/>
  <c r="I16" i="4"/>
  <c r="H16" i="4"/>
  <c r="J16" i="4" s="1"/>
  <c r="M16" i="4" s="1"/>
  <c r="I42" i="4"/>
  <c r="H42" i="4"/>
  <c r="K42" i="4" s="1"/>
  <c r="N42" i="4" s="1"/>
  <c r="H62" i="4"/>
  <c r="K62" i="4" s="1"/>
  <c r="N62" i="4" s="1"/>
  <c r="I62" i="4"/>
  <c r="I30" i="4"/>
  <c r="H30" i="4"/>
  <c r="K30" i="4" s="1"/>
  <c r="N30" i="4" s="1"/>
  <c r="I24" i="4"/>
  <c r="H24" i="4"/>
  <c r="J24" i="4" s="1"/>
  <c r="M24" i="4" s="1"/>
  <c r="I72" i="4"/>
  <c r="H72" i="4"/>
  <c r="K72" i="4" s="1"/>
  <c r="N72" i="4" s="1"/>
  <c r="I58" i="4"/>
  <c r="H58" i="4"/>
  <c r="K58" i="4" s="1"/>
  <c r="N58" i="4" s="1"/>
  <c r="I87" i="4"/>
  <c r="H87" i="4"/>
  <c r="K87" i="4" s="1"/>
  <c r="N87" i="4" s="1"/>
  <c r="I81" i="4"/>
  <c r="H81" i="4"/>
  <c r="J81" i="4" s="1"/>
  <c r="M81" i="4" s="1"/>
  <c r="I75" i="4"/>
  <c r="H75" i="4"/>
  <c r="J75" i="4" s="1"/>
  <c r="M75" i="4" s="1"/>
  <c r="I99" i="4"/>
  <c r="H99" i="4"/>
  <c r="J99" i="4" s="1"/>
  <c r="M99" i="4" s="1"/>
  <c r="I112" i="4"/>
  <c r="H112" i="4"/>
  <c r="J112" i="4" s="1"/>
  <c r="M112" i="4" s="1"/>
  <c r="I119" i="4"/>
  <c r="H119" i="4"/>
  <c r="J119" i="4" s="1"/>
  <c r="M119" i="4" s="1"/>
  <c r="I105" i="4"/>
  <c r="H105" i="4"/>
  <c r="J105" i="4" s="1"/>
  <c r="M105" i="4" s="1"/>
  <c r="H137" i="4"/>
  <c r="J137" i="4" s="1"/>
  <c r="M137" i="4" s="1"/>
  <c r="I137" i="4"/>
  <c r="I142" i="4"/>
  <c r="H142" i="4"/>
  <c r="K142" i="4" s="1"/>
  <c r="N142" i="4" s="1"/>
  <c r="I152" i="4"/>
  <c r="H152" i="4"/>
  <c r="K152" i="4" s="1"/>
  <c r="N152" i="4" s="1"/>
  <c r="I50" i="4"/>
  <c r="H50" i="4"/>
  <c r="K50" i="4" s="1"/>
  <c r="N50" i="4" s="1"/>
  <c r="H95" i="4"/>
  <c r="K95" i="4" s="1"/>
  <c r="N95" i="4" s="1"/>
  <c r="I95" i="4"/>
  <c r="I113" i="4"/>
  <c r="H113" i="4"/>
  <c r="J113" i="4" s="1"/>
  <c r="M113" i="4" s="1"/>
  <c r="H47" i="4"/>
  <c r="K47" i="4" s="1"/>
  <c r="N47" i="4" s="1"/>
  <c r="I47" i="4"/>
  <c r="I56" i="4"/>
  <c r="H56" i="4"/>
  <c r="K56" i="4" s="1"/>
  <c r="N56" i="4" s="1"/>
  <c r="H70" i="4"/>
  <c r="J70" i="4" s="1"/>
  <c r="M70" i="4" s="1"/>
  <c r="I70" i="4"/>
  <c r="I64" i="4"/>
  <c r="H64" i="4"/>
  <c r="J64" i="4" s="1"/>
  <c r="M64" i="4" s="1"/>
  <c r="I25" i="4"/>
  <c r="H25" i="4"/>
  <c r="K25" i="4" s="1"/>
  <c r="N25" i="4" s="1"/>
  <c r="I46" i="4"/>
  <c r="H46" i="4"/>
  <c r="J46" i="4" s="1"/>
  <c r="M46" i="4" s="1"/>
  <c r="I40" i="4"/>
  <c r="H40" i="4"/>
  <c r="K40" i="4" s="1"/>
  <c r="N40" i="4" s="1"/>
  <c r="H61" i="4"/>
  <c r="J61" i="4" s="1"/>
  <c r="M61" i="4" s="1"/>
  <c r="I61" i="4"/>
  <c r="I74" i="4"/>
  <c r="H74" i="4"/>
  <c r="K74" i="4" s="1"/>
  <c r="N74" i="4" s="1"/>
  <c r="I60" i="4"/>
  <c r="H60" i="4"/>
  <c r="J60" i="4" s="1"/>
  <c r="M60" i="4" s="1"/>
  <c r="I96" i="4"/>
  <c r="H96" i="4"/>
  <c r="K96" i="4" s="1"/>
  <c r="N96" i="4" s="1"/>
  <c r="I89" i="4"/>
  <c r="H89" i="4"/>
  <c r="J89" i="4" s="1"/>
  <c r="M89" i="4" s="1"/>
  <c r="I93" i="4"/>
  <c r="I128" i="4"/>
  <c r="H128" i="4"/>
  <c r="J128" i="4" s="1"/>
  <c r="M128" i="4" s="1"/>
  <c r="I135" i="4"/>
  <c r="I121" i="4"/>
  <c r="H121" i="4"/>
  <c r="K121" i="4" s="1"/>
  <c r="N121" i="4" s="1"/>
  <c r="I123" i="4"/>
  <c r="H123" i="4"/>
  <c r="J123" i="4" s="1"/>
  <c r="M123" i="4" s="1"/>
  <c r="I158" i="4"/>
  <c r="H158" i="4"/>
  <c r="K158" i="4" s="1"/>
  <c r="N158" i="4" s="1"/>
  <c r="I149" i="4"/>
  <c r="H149" i="4"/>
  <c r="K149" i="4" s="1"/>
  <c r="N149" i="4" s="1"/>
  <c r="H23" i="4"/>
  <c r="J23" i="4" s="1"/>
  <c r="M23" i="4" s="1"/>
  <c r="I23" i="4"/>
  <c r="I66" i="4"/>
  <c r="H66" i="4"/>
  <c r="K66" i="4" s="1"/>
  <c r="N66" i="4" s="1"/>
  <c r="I120" i="4"/>
  <c r="H120" i="4"/>
  <c r="J120" i="4" s="1"/>
  <c r="M120" i="4" s="1"/>
  <c r="I10" i="4"/>
  <c r="H10" i="4"/>
  <c r="K10" i="4" s="1"/>
  <c r="N10" i="4" s="1"/>
  <c r="I90" i="4"/>
  <c r="H90" i="4"/>
  <c r="K90" i="4" s="1"/>
  <c r="N90" i="4" s="1"/>
  <c r="I13" i="4"/>
  <c r="H13" i="4"/>
  <c r="J13" i="4" s="1"/>
  <c r="M13" i="4" s="1"/>
  <c r="I80" i="4"/>
  <c r="H80" i="4"/>
  <c r="J80" i="4" s="1"/>
  <c r="M80" i="4" s="1"/>
  <c r="I33" i="4"/>
  <c r="H33" i="4"/>
  <c r="K33" i="4" s="1"/>
  <c r="N33" i="4" s="1"/>
  <c r="I19" i="4"/>
  <c r="H19" i="4"/>
  <c r="J19" i="4" s="1"/>
  <c r="M19" i="4" s="1"/>
  <c r="I48" i="4"/>
  <c r="H48" i="4"/>
  <c r="J48" i="4" s="1"/>
  <c r="M48" i="4" s="1"/>
  <c r="H69" i="4"/>
  <c r="K69" i="4" s="1"/>
  <c r="N69" i="4" s="1"/>
  <c r="I69" i="4"/>
  <c r="I82" i="4"/>
  <c r="H82" i="4"/>
  <c r="J82" i="4" s="1"/>
  <c r="M82" i="4" s="1"/>
  <c r="I68" i="4"/>
  <c r="H68" i="4"/>
  <c r="K68" i="4" s="1"/>
  <c r="N68" i="4" s="1"/>
  <c r="I78" i="4"/>
  <c r="H78" i="4"/>
  <c r="K78" i="4" s="1"/>
  <c r="N78" i="4" s="1"/>
  <c r="I94" i="4"/>
  <c r="H94" i="4"/>
  <c r="K94" i="4" s="1"/>
  <c r="N94" i="4" s="1"/>
  <c r="I101" i="4"/>
  <c r="H101" i="4"/>
  <c r="J101" i="4" s="1"/>
  <c r="M101" i="4" s="1"/>
  <c r="I148" i="4"/>
  <c r="H140" i="4"/>
  <c r="J140" i="4" s="1"/>
  <c r="M140" i="4" s="1"/>
  <c r="I140" i="4"/>
  <c r="I129" i="4"/>
  <c r="H129" i="4"/>
  <c r="J129" i="4" s="1"/>
  <c r="M129" i="4" s="1"/>
  <c r="I131" i="4"/>
  <c r="H131" i="4"/>
  <c r="K131" i="4" s="1"/>
  <c r="N131" i="4" s="1"/>
  <c r="I139" i="4"/>
  <c r="I157" i="4"/>
  <c r="H157" i="4"/>
  <c r="J157" i="4" s="1"/>
  <c r="M157" i="4" s="1"/>
  <c r="H20" i="4"/>
  <c r="J20" i="4" s="1"/>
  <c r="M20" i="4" s="1"/>
  <c r="I20" i="4"/>
  <c r="I53" i="4"/>
  <c r="H53" i="4"/>
  <c r="J53" i="4" s="1"/>
  <c r="M53" i="4" s="1"/>
  <c r="I83" i="4"/>
  <c r="H83" i="4"/>
  <c r="J83" i="4" s="1"/>
  <c r="M83" i="4" s="1"/>
  <c r="I141" i="4"/>
  <c r="H141" i="4"/>
  <c r="K141" i="4" s="1"/>
  <c r="N141" i="4" s="1"/>
  <c r="H12" i="4"/>
  <c r="J12" i="4" s="1"/>
  <c r="M12" i="4" s="1"/>
  <c r="I12" i="4"/>
  <c r="I14" i="4"/>
  <c r="H14" i="4"/>
  <c r="J14" i="4" s="1"/>
  <c r="M14" i="4" s="1"/>
  <c r="H31" i="4"/>
  <c r="K31" i="4" s="1"/>
  <c r="N31" i="4" s="1"/>
  <c r="I31" i="4"/>
  <c r="H28" i="4"/>
  <c r="K28" i="4" s="1"/>
  <c r="N28" i="4" s="1"/>
  <c r="I28" i="4"/>
  <c r="I41" i="4"/>
  <c r="H41" i="4"/>
  <c r="K41" i="4" s="1"/>
  <c r="N41" i="4" s="1"/>
  <c r="I27" i="4"/>
  <c r="H27" i="4"/>
  <c r="J27" i="4" s="1"/>
  <c r="M27" i="4" s="1"/>
  <c r="H21" i="4"/>
  <c r="J21" i="4" s="1"/>
  <c r="M21" i="4" s="1"/>
  <c r="I21" i="4"/>
  <c r="H77" i="4"/>
  <c r="J77" i="4" s="1"/>
  <c r="M77" i="4" s="1"/>
  <c r="I77" i="4"/>
  <c r="I55" i="4"/>
  <c r="I76" i="4"/>
  <c r="H76" i="4"/>
  <c r="J76" i="4" s="1"/>
  <c r="M76" i="4" s="1"/>
  <c r="I86" i="4"/>
  <c r="H86" i="4"/>
  <c r="K86" i="4" s="1"/>
  <c r="N86" i="4" s="1"/>
  <c r="H102" i="4"/>
  <c r="J102" i="4" s="1"/>
  <c r="M102" i="4" s="1"/>
  <c r="I102" i="4"/>
  <c r="I107" i="4"/>
  <c r="H122" i="4"/>
  <c r="J122" i="4" s="1"/>
  <c r="M122" i="4" s="1"/>
  <c r="I122" i="4"/>
  <c r="I108" i="4"/>
  <c r="H108" i="4"/>
  <c r="K108" i="4" s="1"/>
  <c r="N108" i="4" s="1"/>
  <c r="H156" i="4"/>
  <c r="J156" i="4" s="1"/>
  <c r="M156" i="4" s="1"/>
  <c r="I156" i="4"/>
  <c r="I143" i="4"/>
  <c r="I147" i="4"/>
  <c r="H147" i="4"/>
  <c r="J147" i="4" s="1"/>
  <c r="M147" i="4" s="1"/>
  <c r="I138" i="4"/>
  <c r="H138" i="4"/>
  <c r="K138" i="4" s="1"/>
  <c r="N138" i="4" s="1"/>
  <c r="I65" i="4"/>
  <c r="H65" i="4"/>
  <c r="J65" i="4" s="1"/>
  <c r="M65" i="4" s="1"/>
  <c r="I92" i="4"/>
  <c r="H92" i="4"/>
  <c r="K92" i="4" s="1"/>
  <c r="N92" i="4" s="1"/>
  <c r="I115" i="4"/>
  <c r="H115" i="4"/>
  <c r="K115" i="4" s="1"/>
  <c r="N115" i="4" s="1"/>
  <c r="I73" i="4"/>
  <c r="H73" i="4"/>
  <c r="J73" i="4" s="1"/>
  <c r="M73" i="4" s="1"/>
  <c r="H39" i="4"/>
  <c r="J39" i="4" s="1"/>
  <c r="M39" i="4" s="1"/>
  <c r="I39" i="4"/>
  <c r="I18" i="4"/>
  <c r="H18" i="4"/>
  <c r="J18" i="4" s="1"/>
  <c r="M18" i="4" s="1"/>
  <c r="H36" i="4"/>
  <c r="K36" i="4" s="1"/>
  <c r="N36" i="4" s="1"/>
  <c r="I36" i="4"/>
  <c r="I49" i="4"/>
  <c r="H49" i="4"/>
  <c r="K49" i="4" s="1"/>
  <c r="N49" i="4" s="1"/>
  <c r="I35" i="4"/>
  <c r="H35" i="4"/>
  <c r="K35" i="4" s="1"/>
  <c r="N35" i="4" s="1"/>
  <c r="I29" i="4"/>
  <c r="H29" i="4"/>
  <c r="K29" i="4" s="1"/>
  <c r="N29" i="4" s="1"/>
  <c r="H85" i="4"/>
  <c r="K85" i="4" s="1"/>
  <c r="N85" i="4" s="1"/>
  <c r="I85" i="4"/>
  <c r="I63" i="4"/>
  <c r="H63" i="4"/>
  <c r="J63" i="4" s="1"/>
  <c r="M63" i="4" s="1"/>
  <c r="I84" i="4"/>
  <c r="I100" i="4"/>
  <c r="H100" i="4"/>
  <c r="K100" i="4" s="1"/>
  <c r="N100" i="4" s="1"/>
  <c r="I109" i="4"/>
  <c r="H125" i="4"/>
  <c r="J125" i="4" s="1"/>
  <c r="M125" i="4" s="1"/>
  <c r="I125" i="4"/>
  <c r="H130" i="4"/>
  <c r="J130" i="4" s="1"/>
  <c r="M130" i="4" s="1"/>
  <c r="I130" i="4"/>
  <c r="I116" i="4"/>
  <c r="H116" i="4"/>
  <c r="J116" i="4" s="1"/>
  <c r="M116" i="4" s="1"/>
  <c r="I118" i="4"/>
  <c r="H118" i="4"/>
  <c r="J118" i="4" s="1"/>
  <c r="M118" i="4" s="1"/>
  <c r="I151" i="4"/>
  <c r="H151" i="4"/>
  <c r="K151" i="4" s="1"/>
  <c r="N151" i="4" s="1"/>
  <c r="I155" i="4"/>
  <c r="H155" i="4"/>
  <c r="K155" i="4" s="1"/>
  <c r="N155" i="4" s="1"/>
  <c r="I146" i="4"/>
  <c r="H146" i="4"/>
  <c r="J146" i="4" s="1"/>
  <c r="M146" i="4" s="1"/>
  <c r="I32" i="4"/>
  <c r="H32" i="4"/>
  <c r="J32" i="4" s="1"/>
  <c r="M32" i="4" s="1"/>
  <c r="I150" i="4"/>
  <c r="H150" i="4"/>
  <c r="J150" i="4" s="1"/>
  <c r="M150" i="4" s="1"/>
  <c r="H9" i="4"/>
  <c r="J9" i="4" s="1"/>
  <c r="I11" i="4"/>
  <c r="H11" i="4"/>
  <c r="J11" i="4" s="1"/>
  <c r="M11" i="4" s="1"/>
  <c r="I26" i="4"/>
  <c r="H26" i="4"/>
  <c r="K26" i="4" s="1"/>
  <c r="N26" i="4" s="1"/>
  <c r="H44" i="4"/>
  <c r="K44" i="4" s="1"/>
  <c r="N44" i="4" s="1"/>
  <c r="I44" i="4"/>
  <c r="H54" i="4"/>
  <c r="K54" i="4" s="1"/>
  <c r="N54" i="4" s="1"/>
  <c r="I54" i="4"/>
  <c r="I43" i="4"/>
  <c r="H43" i="4"/>
  <c r="K43" i="4" s="1"/>
  <c r="N43" i="4" s="1"/>
  <c r="I37" i="4"/>
  <c r="H37" i="4"/>
  <c r="J37" i="4" s="1"/>
  <c r="M37" i="4" s="1"/>
  <c r="I98" i="4"/>
  <c r="H98" i="4"/>
  <c r="J98" i="4" s="1"/>
  <c r="M98" i="4" s="1"/>
  <c r="I71" i="4"/>
  <c r="H71" i="4"/>
  <c r="K71" i="4" s="1"/>
  <c r="N71" i="4" s="1"/>
  <c r="I88" i="4"/>
  <c r="H88" i="4"/>
  <c r="K88" i="4" s="1"/>
  <c r="N88" i="4" s="1"/>
  <c r="I59" i="4"/>
  <c r="H59" i="4"/>
  <c r="J59" i="4" s="1"/>
  <c r="M59" i="4" s="1"/>
  <c r="H133" i="4"/>
  <c r="J133" i="4" s="1"/>
  <c r="M133" i="4" s="1"/>
  <c r="I133" i="4"/>
  <c r="H117" i="4"/>
  <c r="K117" i="4" s="1"/>
  <c r="N117" i="4" s="1"/>
  <c r="I117" i="4"/>
  <c r="I103" i="4"/>
  <c r="H103" i="4"/>
  <c r="K103" i="4" s="1"/>
  <c r="N103" i="4" s="1"/>
  <c r="I124" i="4"/>
  <c r="H124" i="4"/>
  <c r="J124" i="4" s="1"/>
  <c r="M124" i="4" s="1"/>
  <c r="I126" i="4"/>
  <c r="H126" i="4"/>
  <c r="K126" i="4" s="1"/>
  <c r="N126" i="4" s="1"/>
  <c r="H145" i="4"/>
  <c r="K145" i="4" s="1"/>
  <c r="N145" i="4" s="1"/>
  <c r="I145" i="4"/>
  <c r="I136" i="4"/>
  <c r="H136" i="4"/>
  <c r="K136" i="4" s="1"/>
  <c r="N136" i="4" s="1"/>
  <c r="I154" i="4"/>
  <c r="H154" i="4"/>
  <c r="K154" i="4" s="1"/>
  <c r="N154" i="4" s="1"/>
  <c r="H15" i="4"/>
  <c r="K15" i="4" s="1"/>
  <c r="N15" i="4" s="1"/>
  <c r="I15" i="4"/>
  <c r="I127" i="4"/>
  <c r="H127" i="4"/>
  <c r="J127" i="4" s="1"/>
  <c r="M127" i="4" s="1"/>
  <c r="C55" i="4"/>
  <c r="F55" i="4" s="1"/>
  <c r="H55" i="4" s="1"/>
  <c r="K55" i="4" s="1"/>
  <c r="N55" i="4" s="1"/>
  <c r="C84" i="4"/>
  <c r="F84" i="4" s="1"/>
  <c r="H84" i="4" s="1"/>
  <c r="K84" i="4" s="1"/>
  <c r="N84" i="4" s="1"/>
  <c r="C93" i="4"/>
  <c r="F93" i="4" s="1"/>
  <c r="C109" i="4"/>
  <c r="F109" i="4" s="1"/>
  <c r="C107" i="4"/>
  <c r="F107" i="4" s="1"/>
  <c r="C114" i="4"/>
  <c r="F114" i="4" s="1"/>
  <c r="H114" i="4" s="1"/>
  <c r="K114" i="4" s="1"/>
  <c r="N114" i="4" s="1"/>
  <c r="C135" i="4"/>
  <c r="F135" i="4" s="1"/>
  <c r="H135" i="4" s="1"/>
  <c r="K135" i="4" s="1"/>
  <c r="N135" i="4" s="1"/>
  <c r="C143" i="4"/>
  <c r="F143" i="4" s="1"/>
  <c r="H143" i="4" s="1"/>
  <c r="K143" i="4" s="1"/>
  <c r="N143" i="4" s="1"/>
  <c r="C148" i="4"/>
  <c r="F148" i="4" s="1"/>
  <c r="H148" i="4" s="1"/>
  <c r="K148" i="4" s="1"/>
  <c r="N148" i="4" s="1"/>
  <c r="C139" i="4"/>
  <c r="F139" i="4" s="1"/>
  <c r="H139" i="4" s="1"/>
  <c r="K139" i="4" s="1"/>
  <c r="N139" i="4" s="1"/>
  <c r="I17" i="4"/>
  <c r="H17" i="4"/>
  <c r="K17" i="4" s="1"/>
  <c r="N17" i="4" s="1"/>
  <c r="I97" i="4"/>
  <c r="H97" i="4"/>
  <c r="K97" i="4" s="1"/>
  <c r="N97" i="4" s="1"/>
  <c r="I34" i="4"/>
  <c r="H34" i="4"/>
  <c r="K34" i="4" s="1"/>
  <c r="N34" i="4" s="1"/>
  <c r="H52" i="4"/>
  <c r="J52" i="4" s="1"/>
  <c r="M52" i="4" s="1"/>
  <c r="I52" i="4"/>
  <c r="I57" i="4"/>
  <c r="H57" i="4"/>
  <c r="K57" i="4" s="1"/>
  <c r="N57" i="4" s="1"/>
  <c r="I51" i="4"/>
  <c r="H51" i="4"/>
  <c r="J51" i="4" s="1"/>
  <c r="M51" i="4" s="1"/>
  <c r="I45" i="4"/>
  <c r="H45" i="4"/>
  <c r="K45" i="4" s="1"/>
  <c r="N45" i="4" s="1"/>
  <c r="I110" i="4"/>
  <c r="H110" i="4"/>
  <c r="K110" i="4" s="1"/>
  <c r="N110" i="4" s="1"/>
  <c r="I79" i="4"/>
  <c r="H79" i="4"/>
  <c r="K79" i="4" s="1"/>
  <c r="N79" i="4" s="1"/>
  <c r="H106" i="4"/>
  <c r="J106" i="4" s="1"/>
  <c r="M106" i="4" s="1"/>
  <c r="I106" i="4"/>
  <c r="I67" i="4"/>
  <c r="H67" i="4"/>
  <c r="J67" i="4" s="1"/>
  <c r="M67" i="4" s="1"/>
  <c r="I91" i="4"/>
  <c r="H91" i="4"/>
  <c r="K91" i="4" s="1"/>
  <c r="N91" i="4" s="1"/>
  <c r="I104" i="4"/>
  <c r="H104" i="4"/>
  <c r="K104" i="4" s="1"/>
  <c r="N104" i="4" s="1"/>
  <c r="I111" i="4"/>
  <c r="H111" i="4"/>
  <c r="J111" i="4" s="1"/>
  <c r="M111" i="4" s="1"/>
  <c r="I132" i="4"/>
  <c r="H132" i="4"/>
  <c r="J132" i="4" s="1"/>
  <c r="M132" i="4" s="1"/>
  <c r="I134" i="4"/>
  <c r="H134" i="4"/>
  <c r="J134" i="4" s="1"/>
  <c r="M134" i="4" s="1"/>
  <c r="H153" i="4"/>
  <c r="J153" i="4" s="1"/>
  <c r="M153" i="4" s="1"/>
  <c r="I153" i="4"/>
  <c r="I144" i="4"/>
  <c r="H144" i="4"/>
  <c r="J144" i="4" s="1"/>
  <c r="M144" i="4" s="1"/>
  <c r="J149" i="4" l="1"/>
  <c r="M149" i="4" s="1"/>
  <c r="K128" i="4"/>
  <c r="N128" i="4" s="1"/>
  <c r="K70" i="4"/>
  <c r="N70" i="4" s="1"/>
  <c r="K101" i="4"/>
  <c r="N101" i="4" s="1"/>
  <c r="K38" i="4"/>
  <c r="N38" i="4" s="1"/>
  <c r="J158" i="4"/>
  <c r="M158" i="4" s="1"/>
  <c r="J26" i="4"/>
  <c r="M26" i="4" s="1"/>
  <c r="K81" i="4"/>
  <c r="N81" i="4" s="1"/>
  <c r="J94" i="4"/>
  <c r="M94" i="4" s="1"/>
  <c r="J95" i="4"/>
  <c r="M95" i="4" s="1"/>
  <c r="K119" i="4"/>
  <c r="N119" i="4" s="1"/>
  <c r="J152" i="4"/>
  <c r="M152" i="4" s="1"/>
  <c r="K16" i="4"/>
  <c r="N16" i="4" s="1"/>
  <c r="J86" i="4"/>
  <c r="M86" i="4" s="1"/>
  <c r="J33" i="4"/>
  <c r="M33" i="4" s="1"/>
  <c r="K24" i="4"/>
  <c r="N24" i="4" s="1"/>
  <c r="J49" i="4"/>
  <c r="M49" i="4" s="1"/>
  <c r="K124" i="4"/>
  <c r="N124" i="4" s="1"/>
  <c r="K120" i="4"/>
  <c r="N120" i="4" s="1"/>
  <c r="J58" i="4"/>
  <c r="M58" i="4" s="1"/>
  <c r="K32" i="4"/>
  <c r="N32" i="4" s="1"/>
  <c r="J44" i="4"/>
  <c r="M44" i="4" s="1"/>
  <c r="K46" i="4"/>
  <c r="N46" i="4" s="1"/>
  <c r="J100" i="4"/>
  <c r="M100" i="4" s="1"/>
  <c r="K37" i="4"/>
  <c r="N37" i="4" s="1"/>
  <c r="K60" i="4"/>
  <c r="N60" i="4" s="1"/>
  <c r="J87" i="4"/>
  <c r="M87" i="4" s="1"/>
  <c r="K113" i="4"/>
  <c r="N113" i="4" s="1"/>
  <c r="J56" i="4"/>
  <c r="M56" i="4" s="1"/>
  <c r="K82" i="4"/>
  <c r="N82" i="4" s="1"/>
  <c r="K122" i="4"/>
  <c r="N122" i="4" s="1"/>
  <c r="J28" i="4"/>
  <c r="M28" i="4" s="1"/>
  <c r="J30" i="4"/>
  <c r="M30" i="4" s="1"/>
  <c r="J69" i="4"/>
  <c r="M69" i="4" s="1"/>
  <c r="K102" i="4"/>
  <c r="N102" i="4" s="1"/>
  <c r="K77" i="4"/>
  <c r="N77" i="4" s="1"/>
  <c r="K130" i="4"/>
  <c r="N130" i="4" s="1"/>
  <c r="J121" i="4"/>
  <c r="M121" i="4" s="1"/>
  <c r="K89" i="4"/>
  <c r="N89" i="4" s="1"/>
  <c r="J142" i="4"/>
  <c r="M142" i="4" s="1"/>
  <c r="J22" i="4"/>
  <c r="M22" i="4" s="1"/>
  <c r="K112" i="4"/>
  <c r="N112" i="4" s="1"/>
  <c r="K61" i="4"/>
  <c r="N61" i="4" s="1"/>
  <c r="K129" i="4"/>
  <c r="N129" i="4" s="1"/>
  <c r="J141" i="4"/>
  <c r="M141" i="4" s="1"/>
  <c r="J85" i="4"/>
  <c r="M85" i="4" s="1"/>
  <c r="K64" i="4"/>
  <c r="N64" i="4" s="1"/>
  <c r="J36" i="4"/>
  <c r="M36" i="4" s="1"/>
  <c r="K76" i="4"/>
  <c r="N76" i="4" s="1"/>
  <c r="K134" i="4"/>
  <c r="N134" i="4" s="1"/>
  <c r="K59" i="4"/>
  <c r="N59" i="4" s="1"/>
  <c r="J29" i="4"/>
  <c r="M29" i="4" s="1"/>
  <c r="K21" i="4"/>
  <c r="N21" i="4" s="1"/>
  <c r="I9" i="4"/>
  <c r="T9" i="4" s="1"/>
  <c r="T7" i="4" s="1"/>
  <c r="CD5" i="1" s="1"/>
  <c r="K99" i="4"/>
  <c r="N99" i="4" s="1"/>
  <c r="K19" i="4"/>
  <c r="N19" i="4" s="1"/>
  <c r="J40" i="4"/>
  <c r="M40" i="4" s="1"/>
  <c r="K48" i="4"/>
  <c r="N48" i="4" s="1"/>
  <c r="K9" i="4"/>
  <c r="AE9" i="4" s="1"/>
  <c r="AE7" i="4" s="1"/>
  <c r="CF6" i="1" s="1"/>
  <c r="K137" i="4"/>
  <c r="N137" i="4" s="1"/>
  <c r="K39" i="4"/>
  <c r="N39" i="4" s="1"/>
  <c r="K73" i="4"/>
  <c r="N73" i="4" s="1"/>
  <c r="J110" i="4"/>
  <c r="M110" i="4" s="1"/>
  <c r="K63" i="4"/>
  <c r="N63" i="4" s="1"/>
  <c r="J62" i="4"/>
  <c r="M62" i="4" s="1"/>
  <c r="K123" i="4"/>
  <c r="N123" i="4" s="1"/>
  <c r="K27" i="4"/>
  <c r="N27" i="4" s="1"/>
  <c r="K13" i="4"/>
  <c r="N13" i="4" s="1"/>
  <c r="J131" i="4"/>
  <c r="M131" i="4" s="1"/>
  <c r="K51" i="4"/>
  <c r="N51" i="4" s="1"/>
  <c r="J25" i="4"/>
  <c r="M25" i="4" s="1"/>
  <c r="K144" i="4"/>
  <c r="N144" i="4" s="1"/>
  <c r="K14" i="4"/>
  <c r="N14" i="4" s="1"/>
  <c r="J50" i="4"/>
  <c r="M50" i="4" s="1"/>
  <c r="J90" i="4"/>
  <c r="M90" i="4" s="1"/>
  <c r="J96" i="4"/>
  <c r="M96" i="4" s="1"/>
  <c r="J31" i="4"/>
  <c r="M31" i="4" s="1"/>
  <c r="K157" i="4"/>
  <c r="N157" i="4" s="1"/>
  <c r="K52" i="4"/>
  <c r="N52" i="4" s="1"/>
  <c r="J88" i="4"/>
  <c r="M88" i="4" s="1"/>
  <c r="J15" i="4"/>
  <c r="M15" i="4" s="1"/>
  <c r="K11" i="4"/>
  <c r="N11" i="4" s="1"/>
  <c r="K83" i="4"/>
  <c r="N83" i="4" s="1"/>
  <c r="J78" i="4"/>
  <c r="M78" i="4" s="1"/>
  <c r="K18" i="4"/>
  <c r="N18" i="4" s="1"/>
  <c r="J155" i="4"/>
  <c r="M155" i="4" s="1"/>
  <c r="K111" i="4"/>
  <c r="N111" i="4" s="1"/>
  <c r="J108" i="4"/>
  <c r="M108" i="4" s="1"/>
  <c r="J10" i="4"/>
  <c r="M10" i="4" s="1"/>
  <c r="W9" i="4"/>
  <c r="W7" i="4" s="1"/>
  <c r="CE4" i="1" s="1"/>
  <c r="V9" i="4"/>
  <c r="V7" i="4" s="1"/>
  <c r="CE2" i="1" s="1"/>
  <c r="Z9" i="4"/>
  <c r="Z7" i="4" s="1"/>
  <c r="CE6" i="1" s="1"/>
  <c r="Y9" i="4"/>
  <c r="Y7" i="4" s="1"/>
  <c r="CE5" i="1" s="1"/>
  <c r="X9" i="4"/>
  <c r="X7" i="4" s="1"/>
  <c r="M9" i="4"/>
  <c r="Q51" i="4"/>
  <c r="L51" i="4"/>
  <c r="Q151" i="4"/>
  <c r="L151" i="4"/>
  <c r="Q49" i="4"/>
  <c r="L49" i="4"/>
  <c r="Q147" i="4"/>
  <c r="L147" i="4"/>
  <c r="Q14" i="4"/>
  <c r="L14" i="4"/>
  <c r="O14" i="4" s="1"/>
  <c r="Q157" i="4"/>
  <c r="L157" i="4"/>
  <c r="Q158" i="4"/>
  <c r="L158" i="4"/>
  <c r="Q56" i="4"/>
  <c r="L56" i="4"/>
  <c r="K98" i="4"/>
  <c r="N98" i="4" s="1"/>
  <c r="Q21" i="4"/>
  <c r="L21" i="4"/>
  <c r="J138" i="4"/>
  <c r="M138" i="4" s="1"/>
  <c r="J74" i="4"/>
  <c r="M74" i="4" s="1"/>
  <c r="Q69" i="4"/>
  <c r="L69" i="4"/>
  <c r="J42" i="4"/>
  <c r="M42" i="4" s="1"/>
  <c r="J126" i="4"/>
  <c r="M126" i="4" s="1"/>
  <c r="Q106" i="4"/>
  <c r="L106" i="4"/>
  <c r="J114" i="4"/>
  <c r="M114" i="4" s="1"/>
  <c r="J35" i="4"/>
  <c r="M35" i="4" s="1"/>
  <c r="K150" i="4"/>
  <c r="N150" i="4" s="1"/>
  <c r="Q145" i="4"/>
  <c r="L145" i="4"/>
  <c r="Q117" i="4"/>
  <c r="L117" i="4"/>
  <c r="Q54" i="4"/>
  <c r="L54" i="4"/>
  <c r="J41" i="4"/>
  <c r="M41" i="4" s="1"/>
  <c r="K116" i="4"/>
  <c r="N116" i="4" s="1"/>
  <c r="K75" i="4"/>
  <c r="N75" i="4" s="1"/>
  <c r="Q125" i="4"/>
  <c r="L125" i="4"/>
  <c r="K67" i="4"/>
  <c r="N67" i="4" s="1"/>
  <c r="Q122" i="4"/>
  <c r="L122" i="4"/>
  <c r="K156" i="4"/>
  <c r="N156" i="4" s="1"/>
  <c r="K12" i="4"/>
  <c r="N12" i="4" s="1"/>
  <c r="Q20" i="4"/>
  <c r="L20" i="4"/>
  <c r="Q140" i="4"/>
  <c r="L140" i="4"/>
  <c r="J66" i="4"/>
  <c r="M66" i="4" s="1"/>
  <c r="K65" i="4"/>
  <c r="N65" i="4" s="1"/>
  <c r="Q23" i="4"/>
  <c r="L23" i="4"/>
  <c r="J151" i="4"/>
  <c r="M151" i="4" s="1"/>
  <c r="K140" i="4"/>
  <c r="N140" i="4" s="1"/>
  <c r="Q99" i="4"/>
  <c r="L99" i="4"/>
  <c r="Q58" i="4"/>
  <c r="L58" i="4"/>
  <c r="Q38" i="4"/>
  <c r="L38" i="4"/>
  <c r="O38" i="4" s="1"/>
  <c r="Q76" i="4"/>
  <c r="L76" i="4"/>
  <c r="Q78" i="4"/>
  <c r="L78" i="4"/>
  <c r="Q13" i="4"/>
  <c r="L13" i="4"/>
  <c r="Q60" i="4"/>
  <c r="L60" i="4"/>
  <c r="Q133" i="4"/>
  <c r="L133" i="4"/>
  <c r="Q44" i="4"/>
  <c r="L44" i="4"/>
  <c r="Q36" i="4"/>
  <c r="L36" i="4"/>
  <c r="Q12" i="4"/>
  <c r="L12" i="4"/>
  <c r="Q72" i="4"/>
  <c r="L72" i="4"/>
  <c r="Q42" i="4"/>
  <c r="L42" i="4"/>
  <c r="Q144" i="4"/>
  <c r="L144" i="4"/>
  <c r="Q97" i="4"/>
  <c r="L97" i="4"/>
  <c r="H109" i="4"/>
  <c r="K109" i="4" s="1"/>
  <c r="N109" i="4" s="1"/>
  <c r="Q107" i="4"/>
  <c r="L107" i="4"/>
  <c r="Q47" i="4"/>
  <c r="L47" i="4"/>
  <c r="J68" i="4"/>
  <c r="M68" i="4" s="1"/>
  <c r="Q113" i="4"/>
  <c r="L113" i="4"/>
  <c r="Q105" i="4"/>
  <c r="L105" i="4"/>
  <c r="Q104" i="4"/>
  <c r="L104" i="4"/>
  <c r="Q79" i="4"/>
  <c r="L79" i="4"/>
  <c r="Q57" i="4"/>
  <c r="L57" i="4"/>
  <c r="Q17" i="4"/>
  <c r="L17" i="4"/>
  <c r="J45" i="4"/>
  <c r="M45" i="4" s="1"/>
  <c r="Q127" i="4"/>
  <c r="L127" i="4"/>
  <c r="Q126" i="4"/>
  <c r="L126" i="4"/>
  <c r="Q98" i="4"/>
  <c r="L98" i="4"/>
  <c r="Q150" i="4"/>
  <c r="L150" i="4"/>
  <c r="Q118" i="4"/>
  <c r="L118" i="4"/>
  <c r="Q109" i="4"/>
  <c r="L109" i="4"/>
  <c r="K146" i="4"/>
  <c r="N146" i="4" s="1"/>
  <c r="J71" i="4"/>
  <c r="M71" i="4" s="1"/>
  <c r="Q143" i="4"/>
  <c r="L143" i="4"/>
  <c r="H107" i="4"/>
  <c r="K107" i="4" s="1"/>
  <c r="N107" i="4" s="1"/>
  <c r="Q55" i="4"/>
  <c r="L55" i="4"/>
  <c r="Q41" i="4"/>
  <c r="L41" i="4"/>
  <c r="J104" i="4"/>
  <c r="M104" i="4" s="1"/>
  <c r="K106" i="4"/>
  <c r="N106" i="4" s="1"/>
  <c r="Q141" i="4"/>
  <c r="L141" i="4"/>
  <c r="J92" i="4"/>
  <c r="M92" i="4" s="1"/>
  <c r="Q139" i="4"/>
  <c r="L139" i="4"/>
  <c r="Q68" i="4"/>
  <c r="L68" i="4"/>
  <c r="Q19" i="4"/>
  <c r="L19" i="4"/>
  <c r="O19" i="4" s="1"/>
  <c r="Q90" i="4"/>
  <c r="L90" i="4"/>
  <c r="J117" i="4"/>
  <c r="M117" i="4" s="1"/>
  <c r="K20" i="4"/>
  <c r="N20" i="4" s="1"/>
  <c r="Q123" i="4"/>
  <c r="L123" i="4"/>
  <c r="H93" i="4"/>
  <c r="K93" i="4" s="1"/>
  <c r="N93" i="4" s="1"/>
  <c r="Q74" i="4"/>
  <c r="L74" i="4"/>
  <c r="Q25" i="4"/>
  <c r="L25" i="4"/>
  <c r="J47" i="4"/>
  <c r="M47" i="4" s="1"/>
  <c r="K125" i="4"/>
  <c r="N125" i="4" s="1"/>
  <c r="Q95" i="4"/>
  <c r="L95" i="4"/>
  <c r="J43" i="4"/>
  <c r="M43" i="4" s="1"/>
  <c r="Q73" i="4"/>
  <c r="L73" i="4"/>
  <c r="Q48" i="4"/>
  <c r="L48" i="4"/>
  <c r="Q128" i="4"/>
  <c r="L128" i="4"/>
  <c r="O128" i="4" s="1"/>
  <c r="J139" i="4"/>
  <c r="M139" i="4" s="1"/>
  <c r="Q15" i="4"/>
  <c r="L15" i="4"/>
  <c r="O15" i="4" s="1"/>
  <c r="J154" i="4"/>
  <c r="M154" i="4" s="1"/>
  <c r="J91" i="4"/>
  <c r="M91" i="4" s="1"/>
  <c r="J34" i="4"/>
  <c r="M34" i="4" s="1"/>
  <c r="K105" i="4"/>
  <c r="N105" i="4" s="1"/>
  <c r="Q156" i="4"/>
  <c r="L156" i="4"/>
  <c r="Q102" i="4"/>
  <c r="L102" i="4"/>
  <c r="Q77" i="4"/>
  <c r="L77" i="4"/>
  <c r="Q28" i="4"/>
  <c r="L28" i="4"/>
  <c r="K127" i="4"/>
  <c r="N127" i="4" s="1"/>
  <c r="K53" i="4"/>
  <c r="N53" i="4" s="1"/>
  <c r="Q61" i="4"/>
  <c r="L61" i="4"/>
  <c r="J136" i="4"/>
  <c r="M136" i="4" s="1"/>
  <c r="J54" i="4"/>
  <c r="M54" i="4" s="1"/>
  <c r="Q152" i="4"/>
  <c r="L152" i="4"/>
  <c r="Q119" i="4"/>
  <c r="L119" i="4"/>
  <c r="Q81" i="4"/>
  <c r="L81" i="4"/>
  <c r="Q24" i="4"/>
  <c r="L24" i="4"/>
  <c r="Q16" i="4"/>
  <c r="L16" i="4"/>
  <c r="O16" i="4" s="1"/>
  <c r="J115" i="4"/>
  <c r="M115" i="4" s="1"/>
  <c r="J57" i="4"/>
  <c r="M57" i="4" s="1"/>
  <c r="K132" i="4"/>
  <c r="N132" i="4" s="1"/>
  <c r="Q46" i="4"/>
  <c r="L46" i="4"/>
  <c r="Q85" i="4"/>
  <c r="L85" i="4"/>
  <c r="Q148" i="4"/>
  <c r="L148" i="4"/>
  <c r="J103" i="4"/>
  <c r="M103" i="4" s="1"/>
  <c r="Q93" i="4"/>
  <c r="L93" i="4"/>
  <c r="Q75" i="4"/>
  <c r="L75" i="4"/>
  <c r="Q52" i="4"/>
  <c r="L52" i="4"/>
  <c r="J84" i="4"/>
  <c r="M84" i="4" s="1"/>
  <c r="Q134" i="4"/>
  <c r="L134" i="4"/>
  <c r="Q91" i="4"/>
  <c r="L91" i="4"/>
  <c r="Q110" i="4"/>
  <c r="L110" i="4"/>
  <c r="J148" i="4"/>
  <c r="M148" i="4" s="1"/>
  <c r="J55" i="4"/>
  <c r="M55" i="4" s="1"/>
  <c r="K23" i="4"/>
  <c r="N23" i="4" s="1"/>
  <c r="Q154" i="4"/>
  <c r="L154" i="4"/>
  <c r="Q124" i="4"/>
  <c r="L124" i="4"/>
  <c r="Q59" i="4"/>
  <c r="L59" i="4"/>
  <c r="Q37" i="4"/>
  <c r="L37" i="4"/>
  <c r="Q26" i="4"/>
  <c r="L26" i="4"/>
  <c r="Q32" i="4"/>
  <c r="L32" i="4"/>
  <c r="Q146" i="4"/>
  <c r="L146" i="4"/>
  <c r="O146" i="4" s="1"/>
  <c r="Q116" i="4"/>
  <c r="L116" i="4"/>
  <c r="Q100" i="4"/>
  <c r="L100" i="4"/>
  <c r="Q29" i="4"/>
  <c r="L29" i="4"/>
  <c r="Q18" i="4"/>
  <c r="L18" i="4"/>
  <c r="O18" i="4" s="1"/>
  <c r="Q115" i="4"/>
  <c r="L115" i="4"/>
  <c r="Q83" i="4"/>
  <c r="L83" i="4"/>
  <c r="Q131" i="4"/>
  <c r="L131" i="4"/>
  <c r="Q101" i="4"/>
  <c r="L101" i="4"/>
  <c r="Q82" i="4"/>
  <c r="L82" i="4"/>
  <c r="Q33" i="4"/>
  <c r="L33" i="4"/>
  <c r="Q10" i="4"/>
  <c r="L10" i="4"/>
  <c r="J97" i="4"/>
  <c r="M97" i="4" s="1"/>
  <c r="K133" i="4"/>
  <c r="N133" i="4" s="1"/>
  <c r="Q120" i="4"/>
  <c r="L120" i="4"/>
  <c r="Q121" i="4"/>
  <c r="L121" i="4"/>
  <c r="Q89" i="4"/>
  <c r="L89" i="4"/>
  <c r="Q64" i="4"/>
  <c r="L64" i="4"/>
  <c r="J145" i="4"/>
  <c r="M145" i="4" s="1"/>
  <c r="J79" i="4"/>
  <c r="M79" i="4" s="1"/>
  <c r="J17" i="4"/>
  <c r="M17" i="4" s="1"/>
  <c r="Q114" i="4"/>
  <c r="L114" i="4"/>
  <c r="Q27" i="4"/>
  <c r="L27" i="4"/>
  <c r="Q153" i="4"/>
  <c r="L153" i="4"/>
  <c r="J143" i="4"/>
  <c r="M143" i="4" s="1"/>
  <c r="Q112" i="4"/>
  <c r="L112" i="4"/>
  <c r="Q111" i="4"/>
  <c r="L111" i="4"/>
  <c r="Q71" i="4"/>
  <c r="L71" i="4"/>
  <c r="U9" i="4"/>
  <c r="U7" i="4" s="1"/>
  <c r="CD6" i="1" s="1"/>
  <c r="Q63" i="4"/>
  <c r="L63" i="4"/>
  <c r="Q65" i="4"/>
  <c r="L65" i="4"/>
  <c r="AB9" i="4"/>
  <c r="AB7" i="4" s="1"/>
  <c r="CF3" i="1" s="1"/>
  <c r="Q130" i="4"/>
  <c r="L130" i="4"/>
  <c r="Q39" i="4"/>
  <c r="L39" i="4"/>
  <c r="Q31" i="4"/>
  <c r="L31" i="4"/>
  <c r="K118" i="4"/>
  <c r="N118" i="4" s="1"/>
  <c r="Q70" i="4"/>
  <c r="L70" i="4"/>
  <c r="O70" i="4" s="1"/>
  <c r="Q50" i="4"/>
  <c r="L50" i="4"/>
  <c r="Q142" i="4"/>
  <c r="L142" i="4"/>
  <c r="O142" i="4" s="1"/>
  <c r="Q87" i="4"/>
  <c r="L87" i="4"/>
  <c r="Q30" i="4"/>
  <c r="L30" i="4"/>
  <c r="Q22" i="4"/>
  <c r="L22" i="4"/>
  <c r="Q132" i="4"/>
  <c r="L132" i="4"/>
  <c r="Q67" i="4"/>
  <c r="L67" i="4"/>
  <c r="Q45" i="4"/>
  <c r="L45" i="4"/>
  <c r="Q34" i="4"/>
  <c r="L34" i="4"/>
  <c r="J135" i="4"/>
  <c r="M135" i="4" s="1"/>
  <c r="K153" i="4"/>
  <c r="N153" i="4" s="1"/>
  <c r="Q136" i="4"/>
  <c r="L136" i="4"/>
  <c r="Q103" i="4"/>
  <c r="L103" i="4"/>
  <c r="Q88" i="4"/>
  <c r="L88" i="4"/>
  <c r="Q43" i="4"/>
  <c r="L43" i="4"/>
  <c r="Q11" i="4"/>
  <c r="L11" i="4"/>
  <c r="K80" i="4"/>
  <c r="N80" i="4" s="1"/>
  <c r="J72" i="4"/>
  <c r="M72" i="4" s="1"/>
  <c r="Q155" i="4"/>
  <c r="L155" i="4"/>
  <c r="Q84" i="4"/>
  <c r="L84" i="4"/>
  <c r="Q35" i="4"/>
  <c r="L35" i="4"/>
  <c r="Q92" i="4"/>
  <c r="L92" i="4"/>
  <c r="Q138" i="4"/>
  <c r="L138" i="4"/>
  <c r="Q108" i="4"/>
  <c r="L108" i="4"/>
  <c r="Q86" i="4"/>
  <c r="L86" i="4"/>
  <c r="K147" i="4"/>
  <c r="N147" i="4" s="1"/>
  <c r="Q53" i="4"/>
  <c r="L53" i="4"/>
  <c r="Q129" i="4"/>
  <c r="L129" i="4"/>
  <c r="Q94" i="4"/>
  <c r="L94" i="4"/>
  <c r="O94" i="4" s="1"/>
  <c r="Q80" i="4"/>
  <c r="L80" i="4"/>
  <c r="O80" i="4" s="1"/>
  <c r="Q66" i="4"/>
  <c r="L66" i="4"/>
  <c r="Q149" i="4"/>
  <c r="L149" i="4"/>
  <c r="O149" i="4" s="1"/>
  <c r="Q135" i="4"/>
  <c r="L135" i="4"/>
  <c r="Q96" i="4"/>
  <c r="L96" i="4"/>
  <c r="Q40" i="4"/>
  <c r="L40" i="4"/>
  <c r="Q137" i="4"/>
  <c r="L137" i="4"/>
  <c r="Q62" i="4"/>
  <c r="L62" i="4"/>
  <c r="O62" i="4" s="1"/>
  <c r="O12" i="4" l="1"/>
  <c r="O158" i="4"/>
  <c r="O26" i="4"/>
  <c r="O37" i="4"/>
  <c r="O22" i="4"/>
  <c r="O40" i="4"/>
  <c r="O49" i="4"/>
  <c r="O30" i="4"/>
  <c r="O67" i="4"/>
  <c r="O76" i="4"/>
  <c r="O10" i="4"/>
  <c r="O88" i="4"/>
  <c r="O53" i="4"/>
  <c r="O101" i="4"/>
  <c r="O24" i="4"/>
  <c r="O124" i="4"/>
  <c r="O100" i="4"/>
  <c r="O32" i="4"/>
  <c r="O56" i="4"/>
  <c r="N9" i="4"/>
  <c r="O11" i="4"/>
  <c r="O87" i="4"/>
  <c r="AA9" i="4"/>
  <c r="AA7" i="4" s="1"/>
  <c r="CF2" i="1" s="1"/>
  <c r="O27" i="4"/>
  <c r="O48" i="4"/>
  <c r="O134" i="4"/>
  <c r="O50" i="4"/>
  <c r="O120" i="4"/>
  <c r="O82" i="4"/>
  <c r="O119" i="4"/>
  <c r="O95" i="4"/>
  <c r="O69" i="4"/>
  <c r="O152" i="4"/>
  <c r="O28" i="4"/>
  <c r="O60" i="4"/>
  <c r="O36" i="4"/>
  <c r="O58" i="4"/>
  <c r="O112" i="4"/>
  <c r="O81" i="4"/>
  <c r="O64" i="4"/>
  <c r="O122" i="4"/>
  <c r="O86" i="4"/>
  <c r="O89" i="4"/>
  <c r="O33" i="4"/>
  <c r="O44" i="4"/>
  <c r="O59" i="4"/>
  <c r="O41" i="4"/>
  <c r="O113" i="4"/>
  <c r="O46" i="4"/>
  <c r="O129" i="4"/>
  <c r="O61" i="4"/>
  <c r="O102" i="4"/>
  <c r="O99" i="4"/>
  <c r="L9" i="4"/>
  <c r="O75" i="4"/>
  <c r="O77" i="4"/>
  <c r="O157" i="4"/>
  <c r="O130" i="4"/>
  <c r="O73" i="4"/>
  <c r="O155" i="4"/>
  <c r="O85" i="4"/>
  <c r="O96" i="4"/>
  <c r="O35" i="4"/>
  <c r="O136" i="4"/>
  <c r="R9" i="4"/>
  <c r="R7" i="4" s="1"/>
  <c r="CD3" i="1" s="1"/>
  <c r="O121" i="4"/>
  <c r="O141" i="4"/>
  <c r="O51" i="4"/>
  <c r="Q9" i="4"/>
  <c r="Q7" i="4" s="1"/>
  <c r="CD2" i="1" s="1"/>
  <c r="S9" i="4"/>
  <c r="S7" i="4" s="1"/>
  <c r="CD4" i="1" s="1"/>
  <c r="O143" i="4"/>
  <c r="O71" i="4"/>
  <c r="O84" i="4"/>
  <c r="O115" i="4"/>
  <c r="AC9" i="4"/>
  <c r="AC7" i="4" s="1"/>
  <c r="CF4" i="1" s="1"/>
  <c r="O90" i="4"/>
  <c r="O21" i="4"/>
  <c r="O137" i="4"/>
  <c r="O39" i="4"/>
  <c r="AD9" i="4"/>
  <c r="AD7" i="4" s="1"/>
  <c r="CF5" i="1" s="1"/>
  <c r="O83" i="4"/>
  <c r="O74" i="4"/>
  <c r="O78" i="4"/>
  <c r="O29" i="4"/>
  <c r="O13" i="4"/>
  <c r="O131" i="4"/>
  <c r="O138" i="4"/>
  <c r="O116" i="4"/>
  <c r="O156" i="4"/>
  <c r="O145" i="4"/>
  <c r="O31" i="4"/>
  <c r="O34" i="4"/>
  <c r="O150" i="4"/>
  <c r="CE3" i="1"/>
  <c r="CE99" i="1" s="1"/>
  <c r="CH99" i="1" s="1"/>
  <c r="O66" i="4"/>
  <c r="O92" i="4"/>
  <c r="O123" i="4"/>
  <c r="O104" i="4"/>
  <c r="O42" i="4"/>
  <c r="O103" i="4"/>
  <c r="O63" i="4"/>
  <c r="O52" i="4"/>
  <c r="O57" i="4"/>
  <c r="O110" i="4"/>
  <c r="O139" i="4"/>
  <c r="O111" i="4"/>
  <c r="O25" i="4"/>
  <c r="O144" i="4"/>
  <c r="O54" i="4"/>
  <c r="O151" i="4"/>
  <c r="O108" i="4"/>
  <c r="O91" i="4"/>
  <c r="O127" i="4"/>
  <c r="O45" i="4"/>
  <c r="O153" i="4"/>
  <c r="O148" i="4"/>
  <c r="O68" i="4"/>
  <c r="O98" i="4"/>
  <c r="O17" i="4"/>
  <c r="O105" i="4"/>
  <c r="O72" i="4"/>
  <c r="O133" i="4"/>
  <c r="O140" i="4"/>
  <c r="O117" i="4"/>
  <c r="O125" i="4"/>
  <c r="O20" i="4"/>
  <c r="O147" i="4"/>
  <c r="O97" i="4"/>
  <c r="J109" i="4"/>
  <c r="M109" i="4" s="1"/>
  <c r="O109" i="4" s="1"/>
  <c r="O135" i="4"/>
  <c r="O55" i="4"/>
  <c r="J107" i="4"/>
  <c r="M107" i="4" s="1"/>
  <c r="O107" i="4" s="1"/>
  <c r="O43" i="4"/>
  <c r="O132" i="4"/>
  <c r="O114" i="4"/>
  <c r="O118" i="4"/>
  <c r="O79" i="4"/>
  <c r="O23" i="4"/>
  <c r="O126" i="4"/>
  <c r="O154" i="4"/>
  <c r="O47" i="4"/>
  <c r="O65" i="4"/>
  <c r="J93" i="4"/>
  <c r="M93" i="4" s="1"/>
  <c r="O93" i="4" s="1"/>
  <c r="O106" i="4"/>
  <c r="O9" i="4" l="1"/>
  <c r="CE115" i="1"/>
  <c r="CH115" i="1" s="1"/>
  <c r="CE30" i="1"/>
  <c r="CH30" i="1" s="1"/>
  <c r="CE134" i="1"/>
  <c r="CH134" i="1" s="1"/>
  <c r="CE88" i="1"/>
  <c r="CH88" i="1" s="1"/>
  <c r="CE51" i="1"/>
  <c r="CH51" i="1" s="1"/>
  <c r="CE47" i="1"/>
  <c r="CH47" i="1" s="1"/>
  <c r="CE153" i="1"/>
  <c r="CH153" i="1" s="1"/>
  <c r="CE78" i="1"/>
  <c r="CH78" i="1" s="1"/>
  <c r="CE34" i="1"/>
  <c r="CH34" i="1" s="1"/>
  <c r="CE142" i="1"/>
  <c r="CH142" i="1" s="1"/>
  <c r="CE90" i="1"/>
  <c r="CH90" i="1" s="1"/>
  <c r="CE148" i="1"/>
  <c r="CH148" i="1" s="1"/>
  <c r="CE80" i="1"/>
  <c r="CH80" i="1" s="1"/>
  <c r="CE76" i="1"/>
  <c r="CH76" i="1" s="1"/>
  <c r="CE70" i="1"/>
  <c r="CH70" i="1" s="1"/>
  <c r="CE155" i="1"/>
  <c r="CH155" i="1" s="1"/>
  <c r="CE145" i="1"/>
  <c r="CH145" i="1" s="1"/>
  <c r="CE65" i="1"/>
  <c r="CH65" i="1" s="1"/>
  <c r="CE120" i="1"/>
  <c r="CH120" i="1" s="1"/>
  <c r="CE44" i="1"/>
  <c r="CH44" i="1" s="1"/>
  <c r="CE38" i="1"/>
  <c r="CH38" i="1" s="1"/>
  <c r="CE85" i="1"/>
  <c r="CH85" i="1" s="1"/>
  <c r="CE119" i="1"/>
  <c r="CH119" i="1" s="1"/>
  <c r="CE49" i="1"/>
  <c r="CH49" i="1" s="1"/>
  <c r="CE79" i="1"/>
  <c r="CH79" i="1" s="1"/>
  <c r="CE18" i="1"/>
  <c r="CH18" i="1" s="1"/>
  <c r="CE67" i="1"/>
  <c r="CH67" i="1" s="1"/>
  <c r="CE73" i="1"/>
  <c r="CH73" i="1" s="1"/>
  <c r="CE117" i="1"/>
  <c r="CH117" i="1" s="1"/>
  <c r="CE138" i="1"/>
  <c r="CH138" i="1" s="1"/>
  <c r="CE127" i="1"/>
  <c r="CH127" i="1" s="1"/>
  <c r="CE150" i="1"/>
  <c r="CH150" i="1" s="1"/>
  <c r="CE113" i="1"/>
  <c r="CH113" i="1" s="1"/>
  <c r="CE86" i="1"/>
  <c r="CH86" i="1" s="1"/>
  <c r="CE41" i="1"/>
  <c r="CH41" i="1" s="1"/>
  <c r="CE57" i="1"/>
  <c r="CH57" i="1" s="1"/>
  <c r="CE124" i="1"/>
  <c r="CH124" i="1" s="1"/>
  <c r="CE103" i="1"/>
  <c r="CH103" i="1" s="1"/>
  <c r="CE35" i="1"/>
  <c r="CH35" i="1" s="1"/>
  <c r="CE107" i="1"/>
  <c r="CH107" i="1" s="1"/>
  <c r="CE54" i="1"/>
  <c r="CH54" i="1" s="1"/>
  <c r="CE71" i="1"/>
  <c r="CH71" i="1" s="1"/>
  <c r="CE13" i="1"/>
  <c r="CH13" i="1" s="1"/>
  <c r="CE91" i="1"/>
  <c r="CH91" i="1" s="1"/>
  <c r="CE24" i="1"/>
  <c r="CH24" i="1" s="1"/>
  <c r="CE95" i="1"/>
  <c r="CH95" i="1" s="1"/>
  <c r="CE31" i="1"/>
  <c r="CH31" i="1" s="1"/>
  <c r="CE12" i="1"/>
  <c r="CH12" i="1" s="1"/>
  <c r="CE144" i="1"/>
  <c r="CH144" i="1" s="1"/>
  <c r="CE74" i="1"/>
  <c r="CH74" i="1" s="1"/>
  <c r="CE146" i="1"/>
  <c r="CH146" i="1" s="1"/>
  <c r="CE25" i="1"/>
  <c r="CH25" i="1" s="1"/>
  <c r="CE64" i="1"/>
  <c r="CH64" i="1" s="1"/>
  <c r="CE152" i="1"/>
  <c r="CH152" i="1" s="1"/>
  <c r="CE109" i="1"/>
  <c r="CH109" i="1" s="1"/>
  <c r="CE26" i="1"/>
  <c r="CH26" i="1" s="1"/>
  <c r="CE42" i="1"/>
  <c r="CH42" i="1" s="1"/>
  <c r="CE93" i="1"/>
  <c r="CH93" i="1" s="1"/>
  <c r="CE111" i="1"/>
  <c r="CH111" i="1" s="1"/>
  <c r="CE156" i="1"/>
  <c r="CH156" i="1" s="1"/>
  <c r="CE16" i="1"/>
  <c r="CH16" i="1" s="1"/>
  <c r="CE9" i="1"/>
  <c r="CH9" i="1" s="1"/>
  <c r="CE33" i="1"/>
  <c r="CH33" i="1" s="1"/>
  <c r="CE131" i="1"/>
  <c r="CH131" i="1" s="1"/>
  <c r="CE75" i="1"/>
  <c r="CH75" i="1" s="1"/>
  <c r="CE36" i="1"/>
  <c r="CH36" i="1" s="1"/>
  <c r="CE40" i="1"/>
  <c r="CH40" i="1" s="1"/>
  <c r="CE89" i="1"/>
  <c r="CH89" i="1" s="1"/>
  <c r="CE154" i="1"/>
  <c r="CH154" i="1" s="1"/>
  <c r="CE66" i="1"/>
  <c r="CH66" i="1" s="1"/>
  <c r="CE56" i="1"/>
  <c r="CH56" i="1" s="1"/>
  <c r="CE32" i="1"/>
  <c r="CH32" i="1" s="1"/>
  <c r="CE147" i="1"/>
  <c r="CH147" i="1" s="1"/>
  <c r="CE132" i="1"/>
  <c r="CH132" i="1" s="1"/>
  <c r="CE135" i="1"/>
  <c r="CH135" i="1" s="1"/>
  <c r="CE141" i="1"/>
  <c r="CH141" i="1" s="1"/>
  <c r="CE83" i="1"/>
  <c r="CH83" i="1" s="1"/>
  <c r="CE87" i="1"/>
  <c r="CH87" i="1" s="1"/>
  <c r="CE105" i="1"/>
  <c r="CH105" i="1" s="1"/>
  <c r="CE114" i="1"/>
  <c r="CH114" i="1" s="1"/>
  <c r="CE139" i="1"/>
  <c r="CH139" i="1" s="1"/>
  <c r="CE128" i="1"/>
  <c r="CH128" i="1" s="1"/>
  <c r="CE46" i="1"/>
  <c r="CH46" i="1" s="1"/>
  <c r="CE126" i="1"/>
  <c r="CH126" i="1" s="1"/>
  <c r="CE143" i="1"/>
  <c r="CH143" i="1" s="1"/>
  <c r="CE158" i="1"/>
  <c r="CH158" i="1" s="1"/>
  <c r="CE129" i="1"/>
  <c r="CH129" i="1" s="1"/>
  <c r="CE59" i="1"/>
  <c r="CH59" i="1" s="1"/>
  <c r="CE62" i="1"/>
  <c r="CH62" i="1" s="1"/>
  <c r="CE27" i="1"/>
  <c r="CH27" i="1" s="1"/>
  <c r="CE121" i="1"/>
  <c r="CH121" i="1" s="1"/>
  <c r="CE48" i="1"/>
  <c r="CH48" i="1" s="1"/>
  <c r="CE15" i="1"/>
  <c r="CH15" i="1" s="1"/>
  <c r="CE122" i="1"/>
  <c r="CH122" i="1" s="1"/>
  <c r="CE81" i="1"/>
  <c r="CH81" i="1" s="1"/>
  <c r="CE157" i="1"/>
  <c r="CH157" i="1" s="1"/>
  <c r="CE17" i="1"/>
  <c r="CH17" i="1" s="1"/>
  <c r="CE116" i="1"/>
  <c r="CH116" i="1" s="1"/>
  <c r="CE112" i="1"/>
  <c r="CH112" i="1" s="1"/>
  <c r="CE137" i="1"/>
  <c r="CH137" i="1" s="1"/>
  <c r="CE72" i="1"/>
  <c r="CH72" i="1" s="1"/>
  <c r="CE151" i="1"/>
  <c r="CH151" i="1" s="1"/>
  <c r="CE37" i="1"/>
  <c r="CH37" i="1" s="1"/>
  <c r="CF25" i="1"/>
  <c r="CI25" i="1" s="1"/>
  <c r="CE63" i="1"/>
  <c r="CH63" i="1" s="1"/>
  <c r="CE82" i="1"/>
  <c r="CH82" i="1" s="1"/>
  <c r="CE58" i="1"/>
  <c r="CH58" i="1" s="1"/>
  <c r="CE23" i="1"/>
  <c r="CH23" i="1" s="1"/>
  <c r="CE69" i="1"/>
  <c r="CH69" i="1" s="1"/>
  <c r="CE96" i="1"/>
  <c r="CH96" i="1" s="1"/>
  <c r="CE123" i="1"/>
  <c r="CH123" i="1" s="1"/>
  <c r="CE149" i="1"/>
  <c r="CH149" i="1" s="1"/>
  <c r="CE108" i="1"/>
  <c r="CH108" i="1" s="1"/>
  <c r="CE43" i="1"/>
  <c r="CH43" i="1" s="1"/>
  <c r="CE22" i="1"/>
  <c r="CH22" i="1" s="1"/>
  <c r="CE94" i="1"/>
  <c r="CH94" i="1" s="1"/>
  <c r="CE130" i="1"/>
  <c r="CH130" i="1" s="1"/>
  <c r="CE102" i="1"/>
  <c r="CH102" i="1" s="1"/>
  <c r="CE61" i="1"/>
  <c r="CH61" i="1" s="1"/>
  <c r="CE97" i="1"/>
  <c r="CH97" i="1" s="1"/>
  <c r="CE52" i="1"/>
  <c r="CH52" i="1" s="1"/>
  <c r="CE125" i="1"/>
  <c r="CH125" i="1" s="1"/>
  <c r="CE140" i="1"/>
  <c r="CH140" i="1" s="1"/>
  <c r="CE106" i="1"/>
  <c r="CH106" i="1" s="1"/>
  <c r="CE29" i="1"/>
  <c r="CH29" i="1" s="1"/>
  <c r="CE10" i="1"/>
  <c r="CH10" i="1" s="1"/>
  <c r="CE92" i="1"/>
  <c r="CH92" i="1" s="1"/>
  <c r="CE11" i="1"/>
  <c r="CH11" i="1" s="1"/>
  <c r="CF105" i="1"/>
  <c r="CI105" i="1" s="1"/>
  <c r="CD13" i="1"/>
  <c r="CG13" i="1" s="1"/>
  <c r="CD116" i="1"/>
  <c r="CG116" i="1" s="1"/>
  <c r="CD34" i="1"/>
  <c r="CG34" i="1" s="1"/>
  <c r="CK34" i="1" s="1"/>
  <c r="CD141" i="1"/>
  <c r="CG141" i="1" s="1"/>
  <c r="CK141" i="1" s="1"/>
  <c r="CD113" i="1"/>
  <c r="CG113" i="1" s="1"/>
  <c r="CD89" i="1"/>
  <c r="CG89" i="1" s="1"/>
  <c r="CK89" i="1" s="1"/>
  <c r="CD119" i="1"/>
  <c r="CG119" i="1" s="1"/>
  <c r="CK119" i="1" s="1"/>
  <c r="CD31" i="1"/>
  <c r="CG31" i="1" s="1"/>
  <c r="CK31" i="1" s="1"/>
  <c r="CD46" i="1"/>
  <c r="CG46" i="1" s="1"/>
  <c r="CD86" i="1"/>
  <c r="CG86" i="1" s="1"/>
  <c r="CK86" i="1" s="1"/>
  <c r="CD90" i="1"/>
  <c r="CG90" i="1" s="1"/>
  <c r="CK90" i="1" s="1"/>
  <c r="CD157" i="1"/>
  <c r="CG157" i="1" s="1"/>
  <c r="CK157" i="1" s="1"/>
  <c r="CD94" i="1"/>
  <c r="CG94" i="1" s="1"/>
  <c r="CD153" i="1"/>
  <c r="CG153" i="1" s="1"/>
  <c r="CK153" i="1" s="1"/>
  <c r="CD41" i="1"/>
  <c r="CG41" i="1" s="1"/>
  <c r="CK41" i="1" s="1"/>
  <c r="CD9" i="1"/>
  <c r="CG9" i="1" s="1"/>
  <c r="CD129" i="1"/>
  <c r="CG129" i="1" s="1"/>
  <c r="CD17" i="1"/>
  <c r="CG17" i="1" s="1"/>
  <c r="CD75" i="1"/>
  <c r="CG75" i="1" s="1"/>
  <c r="CK75" i="1" s="1"/>
  <c r="CD16" i="1"/>
  <c r="CG16" i="1" s="1"/>
  <c r="CK16" i="1" s="1"/>
  <c r="CD124" i="1"/>
  <c r="CG124" i="1" s="1"/>
  <c r="CK124" i="1" s="1"/>
  <c r="CD28" i="1"/>
  <c r="CG28" i="1" s="1"/>
  <c r="CK28" i="1" s="1"/>
  <c r="CD72" i="1"/>
  <c r="CG72" i="1" s="1"/>
  <c r="CD95" i="1"/>
  <c r="CG95" i="1" s="1"/>
  <c r="CK95" i="1" s="1"/>
  <c r="CD151" i="1"/>
  <c r="CG151" i="1" s="1"/>
  <c r="CD71" i="1"/>
  <c r="CG71" i="1" s="1"/>
  <c r="CK71" i="1" s="1"/>
  <c r="CD101" i="1"/>
  <c r="CG101" i="1" s="1"/>
  <c r="CK101" i="1" s="1"/>
  <c r="CD55" i="1"/>
  <c r="CG55" i="1" s="1"/>
  <c r="CK55" i="1" s="1"/>
  <c r="CD44" i="1"/>
  <c r="CG44" i="1" s="1"/>
  <c r="CK44" i="1" s="1"/>
  <c r="CD131" i="1"/>
  <c r="CG131" i="1" s="1"/>
  <c r="CK131" i="1" s="1"/>
  <c r="CD12" i="1"/>
  <c r="CG12" i="1" s="1"/>
  <c r="CK12" i="1" s="1"/>
  <c r="CD20" i="1"/>
  <c r="CG20" i="1" s="1"/>
  <c r="CD139" i="1"/>
  <c r="CG139" i="1" s="1"/>
  <c r="CD30" i="1"/>
  <c r="CG30" i="1" s="1"/>
  <c r="CK30" i="1" s="1"/>
  <c r="CD140" i="1"/>
  <c r="CG140" i="1" s="1"/>
  <c r="CD83" i="1"/>
  <c r="CG83" i="1" s="1"/>
  <c r="CK83" i="1" s="1"/>
  <c r="CD121" i="1"/>
  <c r="CG121" i="1" s="1"/>
  <c r="CK121" i="1" s="1"/>
  <c r="CD111" i="1"/>
  <c r="CG111" i="1" s="1"/>
  <c r="CK111" i="1" s="1"/>
  <c r="CD123" i="1"/>
  <c r="CG123" i="1" s="1"/>
  <c r="CK123" i="1" s="1"/>
  <c r="CD15" i="1"/>
  <c r="CG15" i="1" s="1"/>
  <c r="CK15" i="1" s="1"/>
  <c r="CN15" i="1" s="1"/>
  <c r="CD87" i="1"/>
  <c r="CG87" i="1" s="1"/>
  <c r="CD40" i="1"/>
  <c r="CG40" i="1" s="1"/>
  <c r="CK40" i="1" s="1"/>
  <c r="CD120" i="1"/>
  <c r="CG120" i="1" s="1"/>
  <c r="CD63" i="1"/>
  <c r="CG63" i="1" s="1"/>
  <c r="CK63" i="1" s="1"/>
  <c r="CD43" i="1"/>
  <c r="CG43" i="1" s="1"/>
  <c r="CK43" i="1" s="1"/>
  <c r="CD93" i="1"/>
  <c r="CG93" i="1" s="1"/>
  <c r="CK93" i="1" s="1"/>
  <c r="CD138" i="1"/>
  <c r="CG138" i="1" s="1"/>
  <c r="CK138" i="1" s="1"/>
  <c r="CD76" i="1"/>
  <c r="CG76" i="1" s="1"/>
  <c r="CK76" i="1" s="1"/>
  <c r="CD35" i="1"/>
  <c r="CG35" i="1" s="1"/>
  <c r="CD135" i="1"/>
  <c r="CG135" i="1" s="1"/>
  <c r="CD136" i="1"/>
  <c r="CG136" i="1" s="1"/>
  <c r="CK136" i="1" s="1"/>
  <c r="CD58" i="1"/>
  <c r="CG58" i="1" s="1"/>
  <c r="CK58" i="1" s="1"/>
  <c r="CD132" i="1"/>
  <c r="CG132" i="1" s="1"/>
  <c r="CK132" i="1" s="1"/>
  <c r="CD102" i="1"/>
  <c r="CG102" i="1" s="1"/>
  <c r="CD110" i="1"/>
  <c r="CG110" i="1" s="1"/>
  <c r="CD32" i="1"/>
  <c r="CG32" i="1" s="1"/>
  <c r="CK32" i="1" s="1"/>
  <c r="CD22" i="1"/>
  <c r="CG22" i="1" s="1"/>
  <c r="CD73" i="1"/>
  <c r="CG73" i="1" s="1"/>
  <c r="CK73" i="1" s="1"/>
  <c r="CD112" i="1"/>
  <c r="CG112" i="1" s="1"/>
  <c r="CK112" i="1" s="1"/>
  <c r="CD107" i="1"/>
  <c r="CG107" i="1" s="1"/>
  <c r="CK107" i="1" s="1"/>
  <c r="CD152" i="1"/>
  <c r="CG152" i="1" s="1"/>
  <c r="CK152" i="1" s="1"/>
  <c r="CD130" i="1"/>
  <c r="CG130" i="1" s="1"/>
  <c r="CD127" i="1"/>
  <c r="CG127" i="1" s="1"/>
  <c r="CK127" i="1" s="1"/>
  <c r="CD50" i="1"/>
  <c r="CG50" i="1" s="1"/>
  <c r="CD85" i="1"/>
  <c r="CG85" i="1" s="1"/>
  <c r="CD52" i="1"/>
  <c r="CG52" i="1" s="1"/>
  <c r="CK52" i="1" s="1"/>
  <c r="CD36" i="1"/>
  <c r="CG36" i="1" s="1"/>
  <c r="CK36" i="1" s="1"/>
  <c r="CD56" i="1"/>
  <c r="CG56" i="1" s="1"/>
  <c r="CK56" i="1" s="1"/>
  <c r="CD96" i="1"/>
  <c r="CG96" i="1" s="1"/>
  <c r="CK96" i="1" s="1"/>
  <c r="CD126" i="1"/>
  <c r="CG126" i="1" s="1"/>
  <c r="CK126" i="1" s="1"/>
  <c r="CD150" i="1"/>
  <c r="CG150" i="1" s="1"/>
  <c r="CD38" i="1"/>
  <c r="CG38" i="1" s="1"/>
  <c r="CK38" i="1" s="1"/>
  <c r="CD10" i="1"/>
  <c r="CG10" i="1" s="1"/>
  <c r="CD80" i="1"/>
  <c r="CG80" i="1" s="1"/>
  <c r="CK80" i="1" s="1"/>
  <c r="CD147" i="1"/>
  <c r="CG147" i="1" s="1"/>
  <c r="CK147" i="1" s="1"/>
  <c r="CD69" i="1"/>
  <c r="CG69" i="1" s="1"/>
  <c r="CD21" i="1"/>
  <c r="CG21" i="1" s="1"/>
  <c r="CK21" i="1" s="1"/>
  <c r="CD51" i="1"/>
  <c r="CG51" i="1" s="1"/>
  <c r="CK51" i="1" s="1"/>
  <c r="CD145" i="1"/>
  <c r="CG145" i="1" s="1"/>
  <c r="CK145" i="1" s="1"/>
  <c r="CD11" i="1"/>
  <c r="CG11" i="1" s="1"/>
  <c r="CK11" i="1" s="1"/>
  <c r="CD82" i="1"/>
  <c r="CG82" i="1" s="1"/>
  <c r="CK82" i="1" s="1"/>
  <c r="CD134" i="1"/>
  <c r="CG134" i="1" s="1"/>
  <c r="CK134" i="1" s="1"/>
  <c r="CD33" i="1"/>
  <c r="CG33" i="1" s="1"/>
  <c r="CK33" i="1" s="1"/>
  <c r="CD29" i="1"/>
  <c r="CG29" i="1" s="1"/>
  <c r="CK29" i="1" s="1"/>
  <c r="CD49" i="1"/>
  <c r="CG49" i="1" s="1"/>
  <c r="CK49" i="1" s="1"/>
  <c r="CD79" i="1"/>
  <c r="CG79" i="1" s="1"/>
  <c r="CK79" i="1" s="1"/>
  <c r="CD146" i="1"/>
  <c r="CG146" i="1" s="1"/>
  <c r="CK146" i="1" s="1"/>
  <c r="CD81" i="1"/>
  <c r="CG81" i="1" s="1"/>
  <c r="CK81" i="1" s="1"/>
  <c r="CD92" i="1"/>
  <c r="CG92" i="1" s="1"/>
  <c r="CK92" i="1" s="1"/>
  <c r="CD74" i="1"/>
  <c r="CG74" i="1" s="1"/>
  <c r="CK74" i="1" s="1"/>
  <c r="CD61" i="1"/>
  <c r="CG61" i="1" s="1"/>
  <c r="CK61" i="1" s="1"/>
  <c r="CD149" i="1"/>
  <c r="CG149" i="1" s="1"/>
  <c r="CD68" i="1"/>
  <c r="CG68" i="1" s="1"/>
  <c r="CK68" i="1" s="1"/>
  <c r="CD133" i="1"/>
  <c r="CG133" i="1" s="1"/>
  <c r="CK133" i="1" s="1"/>
  <c r="CD106" i="1"/>
  <c r="CG106" i="1" s="1"/>
  <c r="CK106" i="1" s="1"/>
  <c r="CD27" i="1"/>
  <c r="CG27" i="1" s="1"/>
  <c r="CK27" i="1" s="1"/>
  <c r="CD65" i="1"/>
  <c r="CG65" i="1" s="1"/>
  <c r="CD158" i="1"/>
  <c r="CG158" i="1" s="1"/>
  <c r="CK158" i="1" s="1"/>
  <c r="CD78" i="1"/>
  <c r="CG78" i="1" s="1"/>
  <c r="CK78" i="1" s="1"/>
  <c r="CD37" i="1"/>
  <c r="CG37" i="1" s="1"/>
  <c r="CK37" i="1" s="1"/>
  <c r="CD48" i="1"/>
  <c r="CG48" i="1" s="1"/>
  <c r="CK48" i="1" s="1"/>
  <c r="CD137" i="1"/>
  <c r="CG137" i="1" s="1"/>
  <c r="CK137" i="1" s="1"/>
  <c r="CD39" i="1"/>
  <c r="CG39" i="1" s="1"/>
  <c r="CK39" i="1" s="1"/>
  <c r="CD62" i="1"/>
  <c r="CG62" i="1" s="1"/>
  <c r="CK62" i="1" s="1"/>
  <c r="CD98" i="1"/>
  <c r="CG98" i="1" s="1"/>
  <c r="CD18" i="1"/>
  <c r="CG18" i="1" s="1"/>
  <c r="CK18" i="1" s="1"/>
  <c r="CD148" i="1"/>
  <c r="CG148" i="1" s="1"/>
  <c r="CK148" i="1" s="1"/>
  <c r="CD105" i="1"/>
  <c r="CG105" i="1" s="1"/>
  <c r="CK105" i="1" s="1"/>
  <c r="CD66" i="1"/>
  <c r="CG66" i="1" s="1"/>
  <c r="CK66" i="1" s="1"/>
  <c r="CD84" i="1"/>
  <c r="CG84" i="1" s="1"/>
  <c r="CK84" i="1" s="1"/>
  <c r="CD142" i="1"/>
  <c r="CG142" i="1" s="1"/>
  <c r="CK142" i="1" s="1"/>
  <c r="CD144" i="1"/>
  <c r="CG144" i="1" s="1"/>
  <c r="CK144" i="1" s="1"/>
  <c r="CD64" i="1"/>
  <c r="CG64" i="1" s="1"/>
  <c r="CK64" i="1" s="1"/>
  <c r="CD143" i="1"/>
  <c r="CG143" i="1" s="1"/>
  <c r="CK143" i="1" s="1"/>
  <c r="CF85" i="1"/>
  <c r="CI85" i="1" s="1"/>
  <c r="CF138" i="1"/>
  <c r="CI138" i="1" s="1"/>
  <c r="CF59" i="1"/>
  <c r="CI59" i="1" s="1"/>
  <c r="CF57" i="1"/>
  <c r="CI57" i="1" s="1"/>
  <c r="CF149" i="1"/>
  <c r="CI149" i="1" s="1"/>
  <c r="CF24" i="1"/>
  <c r="CI24" i="1" s="1"/>
  <c r="CF130" i="1"/>
  <c r="CI130" i="1" s="1"/>
  <c r="CF11" i="1"/>
  <c r="CI11" i="1" s="1"/>
  <c r="CF21" i="1"/>
  <c r="CI21" i="1" s="1"/>
  <c r="CF33" i="1"/>
  <c r="CI33" i="1" s="1"/>
  <c r="CF120" i="1"/>
  <c r="CI120" i="1" s="1"/>
  <c r="CF42" i="1"/>
  <c r="CI42" i="1" s="1"/>
  <c r="CF43" i="1"/>
  <c r="CI43" i="1" s="1"/>
  <c r="CF121" i="1"/>
  <c r="CI121" i="1" s="1"/>
  <c r="CF90" i="1"/>
  <c r="CI90" i="1" s="1"/>
  <c r="CF131" i="1"/>
  <c r="CI131" i="1" s="1"/>
  <c r="CF140" i="1"/>
  <c r="CI140" i="1" s="1"/>
  <c r="CF155" i="1"/>
  <c r="CI155" i="1" s="1"/>
  <c r="CF102" i="1"/>
  <c r="CI102" i="1" s="1"/>
  <c r="CF139" i="1"/>
  <c r="CI139" i="1" s="1"/>
  <c r="CF28" i="1"/>
  <c r="CI28" i="1" s="1"/>
  <c r="CF92" i="1"/>
  <c r="CI92" i="1" s="1"/>
  <c r="CF67" i="1"/>
  <c r="CI67" i="1" s="1"/>
  <c r="CF80" i="1"/>
  <c r="CI80" i="1" s="1"/>
  <c r="CF18" i="1"/>
  <c r="CI18" i="1" s="1"/>
  <c r="CF49" i="1"/>
  <c r="CI49" i="1" s="1"/>
  <c r="CF135" i="1"/>
  <c r="CI135" i="1" s="1"/>
  <c r="CF115" i="1"/>
  <c r="CI115" i="1" s="1"/>
  <c r="CF12" i="1"/>
  <c r="CI12" i="1" s="1"/>
  <c r="CF26" i="1"/>
  <c r="CI26" i="1" s="1"/>
  <c r="CF78" i="1"/>
  <c r="CI78" i="1" s="1"/>
  <c r="CF116" i="1"/>
  <c r="CI116" i="1" s="1"/>
  <c r="CF29" i="1"/>
  <c r="CI29" i="1" s="1"/>
  <c r="CF41" i="1"/>
  <c r="CI41" i="1" s="1"/>
  <c r="CF79" i="1"/>
  <c r="CI79" i="1" s="1"/>
  <c r="CF71" i="1"/>
  <c r="CI71" i="1" s="1"/>
  <c r="CF66" i="1"/>
  <c r="CI66" i="1" s="1"/>
  <c r="CF111" i="1"/>
  <c r="CI111" i="1" s="1"/>
  <c r="CF56" i="1"/>
  <c r="CI56" i="1" s="1"/>
  <c r="CF34" i="1"/>
  <c r="CI34" i="1" s="1"/>
  <c r="CF55" i="1"/>
  <c r="CI55" i="1" s="1"/>
  <c r="CF95" i="1"/>
  <c r="CI95" i="1" s="1"/>
  <c r="CF91" i="1"/>
  <c r="CI91" i="1" s="1"/>
  <c r="CF23" i="1"/>
  <c r="CI23" i="1" s="1"/>
  <c r="CF32" i="1"/>
  <c r="CI32" i="1" s="1"/>
  <c r="CF37" i="1"/>
  <c r="CI37" i="1" s="1"/>
  <c r="CF27" i="1"/>
  <c r="CI27" i="1" s="1"/>
  <c r="CF65" i="1"/>
  <c r="CI65" i="1" s="1"/>
  <c r="CF134" i="1"/>
  <c r="CI134" i="1" s="1"/>
  <c r="CF103" i="1"/>
  <c r="CI103" i="1" s="1"/>
  <c r="CF99" i="1"/>
  <c r="CI99" i="1" s="1"/>
  <c r="CF74" i="1"/>
  <c r="CI74" i="1" s="1"/>
  <c r="CF126" i="1"/>
  <c r="CI126" i="1" s="1"/>
  <c r="CF70" i="1"/>
  <c r="CI70" i="1" s="1"/>
  <c r="CF153" i="1"/>
  <c r="CI153" i="1" s="1"/>
  <c r="CF118" i="1"/>
  <c r="CI118" i="1" s="1"/>
  <c r="CF127" i="1"/>
  <c r="CI127" i="1" s="1"/>
  <c r="CF93" i="1"/>
  <c r="CI93" i="1" s="1"/>
  <c r="CF53" i="1"/>
  <c r="CI53" i="1" s="1"/>
  <c r="CF69" i="1"/>
  <c r="CI69" i="1" s="1"/>
  <c r="CF72" i="1"/>
  <c r="CI72" i="1" s="1"/>
  <c r="CF20" i="1"/>
  <c r="CI20" i="1" s="1"/>
  <c r="CF94" i="1"/>
  <c r="CI94" i="1" s="1"/>
  <c r="CF128" i="1"/>
  <c r="CI128" i="1" s="1"/>
  <c r="CF147" i="1"/>
  <c r="CI147" i="1" s="1"/>
  <c r="CJ147" i="1" s="1"/>
  <c r="CF154" i="1"/>
  <c r="CI154" i="1" s="1"/>
  <c r="CF44" i="1"/>
  <c r="CI44" i="1" s="1"/>
  <c r="CF62" i="1"/>
  <c r="CI62" i="1" s="1"/>
  <c r="CF17" i="1"/>
  <c r="CI17" i="1" s="1"/>
  <c r="CF143" i="1"/>
  <c r="CI143" i="1" s="1"/>
  <c r="CF16" i="1"/>
  <c r="CI16" i="1" s="1"/>
  <c r="CF51" i="1"/>
  <c r="CI51" i="1" s="1"/>
  <c r="CF46" i="1"/>
  <c r="CI46" i="1" s="1"/>
  <c r="CF122" i="1"/>
  <c r="CI122" i="1" s="1"/>
  <c r="CF112" i="1"/>
  <c r="CI112" i="1" s="1"/>
  <c r="CF54" i="1"/>
  <c r="CI54" i="1" s="1"/>
  <c r="CF142" i="1"/>
  <c r="CI142" i="1" s="1"/>
  <c r="CF13" i="1"/>
  <c r="CI13" i="1" s="1"/>
  <c r="CF88" i="1"/>
  <c r="CI88" i="1" s="1"/>
  <c r="CF113" i="1"/>
  <c r="CI113" i="1" s="1"/>
  <c r="CF136" i="1"/>
  <c r="CI136" i="1" s="1"/>
  <c r="CF158" i="1"/>
  <c r="CI158" i="1" s="1"/>
  <c r="CF10" i="1"/>
  <c r="CI10" i="1" s="1"/>
  <c r="CF60" i="1"/>
  <c r="CI60" i="1" s="1"/>
  <c r="CF64" i="1"/>
  <c r="CI64" i="1" s="1"/>
  <c r="CF150" i="1"/>
  <c r="CI150" i="1" s="1"/>
  <c r="CF145" i="1"/>
  <c r="CI145" i="1" s="1"/>
  <c r="CF39" i="1"/>
  <c r="CI39" i="1" s="1"/>
  <c r="CF98" i="1"/>
  <c r="CI98" i="1" s="1"/>
  <c r="CD91" i="1"/>
  <c r="CG91" i="1" s="1"/>
  <c r="CK91" i="1" s="1"/>
  <c r="CD114" i="1"/>
  <c r="CG114" i="1" s="1"/>
  <c r="CK114" i="1" s="1"/>
  <c r="CD57" i="1"/>
  <c r="CG57" i="1" s="1"/>
  <c r="CD115" i="1"/>
  <c r="CG115" i="1" s="1"/>
  <c r="CD60" i="1"/>
  <c r="CG60" i="1" s="1"/>
  <c r="CK60" i="1" s="1"/>
  <c r="CD118" i="1"/>
  <c r="CG118" i="1" s="1"/>
  <c r="CD77" i="1"/>
  <c r="CG77" i="1" s="1"/>
  <c r="CD47" i="1"/>
  <c r="CG47" i="1" s="1"/>
  <c r="CK47" i="1" s="1"/>
  <c r="CD156" i="1"/>
  <c r="CG156" i="1" s="1"/>
  <c r="CD97" i="1"/>
  <c r="CG97" i="1" s="1"/>
  <c r="CK97" i="1" s="1"/>
  <c r="CD100" i="1"/>
  <c r="CG100" i="1" s="1"/>
  <c r="CK100" i="1" s="1"/>
  <c r="CD23" i="1"/>
  <c r="CG23" i="1" s="1"/>
  <c r="CD26" i="1"/>
  <c r="CG26" i="1" s="1"/>
  <c r="CK26" i="1" s="1"/>
  <c r="CD88" i="1"/>
  <c r="CG88" i="1" s="1"/>
  <c r="CD154" i="1"/>
  <c r="CG154" i="1" s="1"/>
  <c r="CD117" i="1"/>
  <c r="CG117" i="1" s="1"/>
  <c r="CK117" i="1" s="1"/>
  <c r="CD70" i="1"/>
  <c r="CG70" i="1" s="1"/>
  <c r="CK70" i="1" s="1"/>
  <c r="CD128" i="1"/>
  <c r="CG128" i="1" s="1"/>
  <c r="CK128" i="1" s="1"/>
  <c r="CE60" i="1"/>
  <c r="CH60" i="1" s="1"/>
  <c r="CE84" i="1"/>
  <c r="CH84" i="1" s="1"/>
  <c r="CE110" i="1"/>
  <c r="CH110" i="1" s="1"/>
  <c r="CE53" i="1"/>
  <c r="CH53" i="1" s="1"/>
  <c r="CE104" i="1"/>
  <c r="CH104" i="1" s="1"/>
  <c r="CE101" i="1"/>
  <c r="CH101" i="1" s="1"/>
  <c r="CE14" i="1"/>
  <c r="CH14" i="1" s="1"/>
  <c r="CE55" i="1"/>
  <c r="CH55" i="1" s="1"/>
  <c r="CE19" i="1"/>
  <c r="CH19" i="1" s="1"/>
  <c r="CE68" i="1"/>
  <c r="CH68" i="1" s="1"/>
  <c r="CE39" i="1"/>
  <c r="CH39" i="1" s="1"/>
  <c r="CF75" i="1"/>
  <c r="CI75" i="1" s="1"/>
  <c r="CF157" i="1"/>
  <c r="CI157" i="1" s="1"/>
  <c r="CF123" i="1"/>
  <c r="CI123" i="1" s="1"/>
  <c r="CF156" i="1"/>
  <c r="CI156" i="1" s="1"/>
  <c r="CF63" i="1"/>
  <c r="CI63" i="1" s="1"/>
  <c r="CF148" i="1"/>
  <c r="CI148" i="1" s="1"/>
  <c r="CF58" i="1"/>
  <c r="CI58" i="1" s="1"/>
  <c r="CF97" i="1"/>
  <c r="CI97" i="1" s="1"/>
  <c r="CF107" i="1"/>
  <c r="CI107" i="1" s="1"/>
  <c r="CF146" i="1"/>
  <c r="CI146" i="1" s="1"/>
  <c r="CF89" i="1"/>
  <c r="CI89" i="1" s="1"/>
  <c r="CF141" i="1"/>
  <c r="CI141" i="1" s="1"/>
  <c r="CF124" i="1"/>
  <c r="CI124" i="1" s="1"/>
  <c r="CF22" i="1"/>
  <c r="CI22" i="1" s="1"/>
  <c r="CF30" i="1"/>
  <c r="CI30" i="1" s="1"/>
  <c r="CF101" i="1"/>
  <c r="CI101" i="1" s="1"/>
  <c r="CF132" i="1"/>
  <c r="CI132" i="1" s="1"/>
  <c r="CF114" i="1"/>
  <c r="CI114" i="1" s="1"/>
  <c r="CF31" i="1"/>
  <c r="CI31" i="1" s="1"/>
  <c r="CF61" i="1"/>
  <c r="CI61" i="1" s="1"/>
  <c r="CF73" i="1"/>
  <c r="CI73" i="1" s="1"/>
  <c r="CF76" i="1"/>
  <c r="CI76" i="1" s="1"/>
  <c r="CF77" i="1"/>
  <c r="CI77" i="1" s="1"/>
  <c r="CF144" i="1"/>
  <c r="CI144" i="1" s="1"/>
  <c r="CJ144" i="1" s="1"/>
  <c r="CM144" i="1" s="1"/>
  <c r="CP144" i="1" s="1"/>
  <c r="CF96" i="1"/>
  <c r="CI96" i="1" s="1"/>
  <c r="CF15" i="1"/>
  <c r="CI15" i="1" s="1"/>
  <c r="CF125" i="1"/>
  <c r="CI125" i="1" s="1"/>
  <c r="CF47" i="1"/>
  <c r="CI47" i="1" s="1"/>
  <c r="CD19" i="1"/>
  <c r="CG19" i="1" s="1"/>
  <c r="CK19" i="1" s="1"/>
  <c r="CD103" i="1"/>
  <c r="CG103" i="1" s="1"/>
  <c r="CK103" i="1" s="1"/>
  <c r="CD45" i="1"/>
  <c r="CG45" i="1" s="1"/>
  <c r="CK45" i="1" s="1"/>
  <c r="CD104" i="1"/>
  <c r="CG104" i="1" s="1"/>
  <c r="CK104" i="1" s="1"/>
  <c r="CD24" i="1"/>
  <c r="CG24" i="1" s="1"/>
  <c r="CK24" i="1" s="1"/>
  <c r="CD99" i="1"/>
  <c r="CG99" i="1" s="1"/>
  <c r="CK99" i="1" s="1"/>
  <c r="CD122" i="1"/>
  <c r="CG122" i="1" s="1"/>
  <c r="CK122" i="1" s="1"/>
  <c r="CD53" i="1"/>
  <c r="CG53" i="1" s="1"/>
  <c r="CK53" i="1" s="1"/>
  <c r="CD67" i="1"/>
  <c r="CG67" i="1" s="1"/>
  <c r="CD125" i="1"/>
  <c r="CG125" i="1" s="1"/>
  <c r="CK125" i="1" s="1"/>
  <c r="CD54" i="1"/>
  <c r="CG54" i="1" s="1"/>
  <c r="CK54" i="1" s="1"/>
  <c r="CD155" i="1"/>
  <c r="CG155" i="1" s="1"/>
  <c r="CD59" i="1"/>
  <c r="CG59" i="1" s="1"/>
  <c r="CK59" i="1" s="1"/>
  <c r="CD42" i="1"/>
  <c r="CG42" i="1" s="1"/>
  <c r="CK42" i="1" s="1"/>
  <c r="CD108" i="1"/>
  <c r="CG108" i="1" s="1"/>
  <c r="CK108" i="1" s="1"/>
  <c r="CD14" i="1"/>
  <c r="CG14" i="1" s="1"/>
  <c r="CK14" i="1" s="1"/>
  <c r="CD25" i="1"/>
  <c r="CG25" i="1" s="1"/>
  <c r="CK25" i="1" s="1"/>
  <c r="CD109" i="1"/>
  <c r="CG109" i="1" s="1"/>
  <c r="CK109" i="1" s="1"/>
  <c r="CE28" i="1"/>
  <c r="CH28" i="1" s="1"/>
  <c r="CE118" i="1"/>
  <c r="CH118" i="1" s="1"/>
  <c r="CE45" i="1"/>
  <c r="CH45" i="1" s="1"/>
  <c r="CE50" i="1"/>
  <c r="CH50" i="1" s="1"/>
  <c r="CE77" i="1"/>
  <c r="CH77" i="1" s="1"/>
  <c r="CE100" i="1"/>
  <c r="CH100" i="1" s="1"/>
  <c r="CE98" i="1"/>
  <c r="CH98" i="1" s="1"/>
  <c r="CE21" i="1"/>
  <c r="CH21" i="1" s="1"/>
  <c r="CE20" i="1"/>
  <c r="CH20" i="1" s="1"/>
  <c r="CE136" i="1"/>
  <c r="CH136" i="1" s="1"/>
  <c r="CE133" i="1"/>
  <c r="CH133" i="1" s="1"/>
  <c r="CF86" i="1"/>
  <c r="CI86" i="1" s="1"/>
  <c r="CJ86" i="1" s="1"/>
  <c r="CF82" i="1"/>
  <c r="CI82" i="1" s="1"/>
  <c r="CF68" i="1"/>
  <c r="CI68" i="1" s="1"/>
  <c r="CF52" i="1"/>
  <c r="CI52" i="1" s="1"/>
  <c r="CF83" i="1"/>
  <c r="CI83" i="1" s="1"/>
  <c r="CF45" i="1"/>
  <c r="CI45" i="1" s="1"/>
  <c r="CF19" i="1"/>
  <c r="CI19" i="1" s="1"/>
  <c r="CF137" i="1"/>
  <c r="CI137" i="1" s="1"/>
  <c r="CF50" i="1"/>
  <c r="CI50" i="1" s="1"/>
  <c r="CF38" i="1"/>
  <c r="CI38" i="1" s="1"/>
  <c r="CF117" i="1"/>
  <c r="CI117" i="1" s="1"/>
  <c r="CF151" i="1"/>
  <c r="CI151" i="1" s="1"/>
  <c r="CJ151" i="1" s="1"/>
  <c r="CM151" i="1" s="1"/>
  <c r="CP151" i="1" s="1"/>
  <c r="CF152" i="1"/>
  <c r="CI152" i="1" s="1"/>
  <c r="CF40" i="1"/>
  <c r="CI40" i="1" s="1"/>
  <c r="CF9" i="1"/>
  <c r="CI9" i="1" s="1"/>
  <c r="CF106" i="1"/>
  <c r="CI106" i="1" s="1"/>
  <c r="CF104" i="1"/>
  <c r="CI104" i="1" s="1"/>
  <c r="CF129" i="1"/>
  <c r="CI129" i="1" s="1"/>
  <c r="CF110" i="1"/>
  <c r="CI110" i="1" s="1"/>
  <c r="CF84" i="1"/>
  <c r="CI84" i="1" s="1"/>
  <c r="CF100" i="1"/>
  <c r="CI100" i="1" s="1"/>
  <c r="CF36" i="1"/>
  <c r="CI36" i="1" s="1"/>
  <c r="CF48" i="1"/>
  <c r="CI48" i="1" s="1"/>
  <c r="CF35" i="1"/>
  <c r="CI35" i="1" s="1"/>
  <c r="CF14" i="1"/>
  <c r="CI14" i="1" s="1"/>
  <c r="CF81" i="1"/>
  <c r="CI81" i="1" s="1"/>
  <c r="CF109" i="1"/>
  <c r="CI109" i="1" s="1"/>
  <c r="CF133" i="1"/>
  <c r="CI133" i="1" s="1"/>
  <c r="CF87" i="1"/>
  <c r="CI87" i="1" s="1"/>
  <c r="CF119" i="1"/>
  <c r="CI119" i="1" s="1"/>
  <c r="CF108" i="1"/>
  <c r="CI108" i="1" s="1"/>
  <c r="CK118" i="1"/>
  <c r="CK17" i="1"/>
  <c r="CK10" i="1"/>
  <c r="CK46" i="1"/>
  <c r="CK13" i="1"/>
  <c r="CK135" i="1"/>
  <c r="CK98" i="1"/>
  <c r="CK129" i="1"/>
  <c r="CK87" i="1"/>
  <c r="CK85" i="1"/>
  <c r="CK139" i="1"/>
  <c r="CK50" i="1"/>
  <c r="CK151" i="1"/>
  <c r="CK65" i="1"/>
  <c r="CK35" i="1"/>
  <c r="CK22" i="1"/>
  <c r="CJ65" i="1" l="1"/>
  <c r="CM65" i="1" s="1"/>
  <c r="CP65" i="1" s="1"/>
  <c r="CJ82" i="1"/>
  <c r="CM82" i="1" s="1"/>
  <c r="CP82" i="1" s="1"/>
  <c r="CJ10" i="1"/>
  <c r="CM10" i="1" s="1"/>
  <c r="CP10" i="1" s="1"/>
  <c r="CJ46" i="1"/>
  <c r="CM46" i="1" s="1"/>
  <c r="CP46" i="1" s="1"/>
  <c r="CJ87" i="1"/>
  <c r="CM87" i="1" s="1"/>
  <c r="CP87" i="1" s="1"/>
  <c r="CJ152" i="1"/>
  <c r="CM152" i="1" s="1"/>
  <c r="CP152" i="1" s="1"/>
  <c r="CJ18" i="1"/>
  <c r="CM18" i="1" s="1"/>
  <c r="CP18" i="1" s="1"/>
  <c r="CJ69" i="1"/>
  <c r="CL69" i="1" s="1"/>
  <c r="CO69" i="1" s="1"/>
  <c r="CJ124" i="1"/>
  <c r="CL124" i="1" s="1"/>
  <c r="CO124" i="1" s="1"/>
  <c r="CJ120" i="1"/>
  <c r="CL120" i="1" s="1"/>
  <c r="CO120" i="1" s="1"/>
  <c r="CJ72" i="1"/>
  <c r="CM72" i="1" s="1"/>
  <c r="CP72" i="1" s="1"/>
  <c r="CK72" i="1"/>
  <c r="CN72" i="1" s="1"/>
  <c r="CJ64" i="1"/>
  <c r="CM64" i="1" s="1"/>
  <c r="CP64" i="1" s="1"/>
  <c r="CK69" i="1"/>
  <c r="CS69" i="1" s="1"/>
  <c r="CJ45" i="1"/>
  <c r="CL45" i="1" s="1"/>
  <c r="CO45" i="1" s="1"/>
  <c r="CK120" i="1"/>
  <c r="CS120" i="1" s="1"/>
  <c r="CJ83" i="1"/>
  <c r="CM83" i="1" s="1"/>
  <c r="CP83" i="1" s="1"/>
  <c r="CJ38" i="1"/>
  <c r="CM38" i="1" s="1"/>
  <c r="CP38" i="1" s="1"/>
  <c r="CJ26" i="1"/>
  <c r="CM26" i="1" s="1"/>
  <c r="CP26" i="1" s="1"/>
  <c r="CJ116" i="1"/>
  <c r="CM116" i="1" s="1"/>
  <c r="CP116" i="1" s="1"/>
  <c r="CJ41" i="1"/>
  <c r="CL41" i="1" s="1"/>
  <c r="CO41" i="1" s="1"/>
  <c r="CJ88" i="1"/>
  <c r="CM88" i="1" s="1"/>
  <c r="CP88" i="1" s="1"/>
  <c r="CJ155" i="1"/>
  <c r="CM155" i="1" s="1"/>
  <c r="CP155" i="1" s="1"/>
  <c r="CJ145" i="1"/>
  <c r="CM145" i="1" s="1"/>
  <c r="CP145" i="1" s="1"/>
  <c r="CJ143" i="1"/>
  <c r="CM143" i="1" s="1"/>
  <c r="CP143" i="1" s="1"/>
  <c r="CJ140" i="1"/>
  <c r="CM140" i="1" s="1"/>
  <c r="CP140" i="1" s="1"/>
  <c r="CJ80" i="1"/>
  <c r="CM80" i="1" s="1"/>
  <c r="CP80" i="1" s="1"/>
  <c r="CJ21" i="1"/>
  <c r="CM21" i="1" s="1"/>
  <c r="CP21" i="1" s="1"/>
  <c r="CJ22" i="1"/>
  <c r="CL22" i="1" s="1"/>
  <c r="CO22" i="1" s="1"/>
  <c r="CJ148" i="1"/>
  <c r="CL148" i="1" s="1"/>
  <c r="CO148" i="1" s="1"/>
  <c r="CJ57" i="1"/>
  <c r="CM57" i="1" s="1"/>
  <c r="CP57" i="1" s="1"/>
  <c r="CJ74" i="1"/>
  <c r="CL74" i="1" s="1"/>
  <c r="CO74" i="1" s="1"/>
  <c r="CJ71" i="1"/>
  <c r="CL71" i="1" s="1"/>
  <c r="CO71" i="1" s="1"/>
  <c r="CJ139" i="1"/>
  <c r="CM139" i="1" s="1"/>
  <c r="CP139" i="1" s="1"/>
  <c r="CJ123" i="1"/>
  <c r="CL123" i="1" s="1"/>
  <c r="CO123" i="1" s="1"/>
  <c r="CJ129" i="1"/>
  <c r="CM129" i="1" s="1"/>
  <c r="CP129" i="1" s="1"/>
  <c r="CJ105" i="1"/>
  <c r="CM105" i="1" s="1"/>
  <c r="CP105" i="1" s="1"/>
  <c r="CJ134" i="1"/>
  <c r="CM134" i="1" s="1"/>
  <c r="CP134" i="1" s="1"/>
  <c r="CK116" i="1"/>
  <c r="CS116" i="1" s="1"/>
  <c r="CJ98" i="1"/>
  <c r="CM98" i="1" s="1"/>
  <c r="CP98" i="1" s="1"/>
  <c r="CJ67" i="1"/>
  <c r="CL67" i="1" s="1"/>
  <c r="CO67" i="1" s="1"/>
  <c r="CJ73" i="1"/>
  <c r="CL73" i="1" s="1"/>
  <c r="CO73" i="1" s="1"/>
  <c r="CJ63" i="1"/>
  <c r="CL63" i="1" s="1"/>
  <c r="CO63" i="1" s="1"/>
  <c r="CJ55" i="1"/>
  <c r="CM55" i="1" s="1"/>
  <c r="CP55" i="1" s="1"/>
  <c r="CJ135" i="1"/>
  <c r="CM135" i="1" s="1"/>
  <c r="CP135" i="1" s="1"/>
  <c r="CJ113" i="1"/>
  <c r="CL113" i="1" s="1"/>
  <c r="CO113" i="1" s="1"/>
  <c r="CJ95" i="1"/>
  <c r="CL95" i="1" s="1"/>
  <c r="CO95" i="1" s="1"/>
  <c r="CJ85" i="1"/>
  <c r="CM85" i="1" s="1"/>
  <c r="CP85" i="1" s="1"/>
  <c r="CJ52" i="1"/>
  <c r="CL52" i="1" s="1"/>
  <c r="CO52" i="1" s="1"/>
  <c r="CJ117" i="1"/>
  <c r="CM117" i="1" s="1"/>
  <c r="CP117" i="1" s="1"/>
  <c r="CJ61" i="1"/>
  <c r="CM61" i="1" s="1"/>
  <c r="CP61" i="1" s="1"/>
  <c r="CJ141" i="1"/>
  <c r="CM141" i="1" s="1"/>
  <c r="CP141" i="1" s="1"/>
  <c r="CJ149" i="1"/>
  <c r="CM149" i="1" s="1"/>
  <c r="CP149" i="1" s="1"/>
  <c r="CK140" i="1"/>
  <c r="CS140" i="1" s="1"/>
  <c r="CK113" i="1"/>
  <c r="CS113" i="1" s="1"/>
  <c r="CJ112" i="1"/>
  <c r="CM112" i="1" s="1"/>
  <c r="CP112" i="1" s="1"/>
  <c r="CJ35" i="1"/>
  <c r="CM35" i="1" s="1"/>
  <c r="CP35" i="1" s="1"/>
  <c r="CJ90" i="1"/>
  <c r="CM90" i="1" s="1"/>
  <c r="CP90" i="1" s="1"/>
  <c r="CJ136" i="1"/>
  <c r="CM136" i="1" s="1"/>
  <c r="CP136" i="1" s="1"/>
  <c r="CJ33" i="1"/>
  <c r="CM33" i="1" s="1"/>
  <c r="CP33" i="1" s="1"/>
  <c r="CJ158" i="1"/>
  <c r="CM158" i="1" s="1"/>
  <c r="CP158" i="1" s="1"/>
  <c r="CJ17" i="1"/>
  <c r="CM17" i="1" s="1"/>
  <c r="CP17" i="1" s="1"/>
  <c r="CJ54" i="1"/>
  <c r="CM54" i="1" s="1"/>
  <c r="CP54" i="1" s="1"/>
  <c r="CJ130" i="1"/>
  <c r="CM130" i="1" s="1"/>
  <c r="CP130" i="1" s="1"/>
  <c r="CJ102" i="1"/>
  <c r="CM102" i="1" s="1"/>
  <c r="CP102" i="1" s="1"/>
  <c r="CJ44" i="1"/>
  <c r="CM44" i="1" s="1"/>
  <c r="CP44" i="1" s="1"/>
  <c r="CJ94" i="1"/>
  <c r="CL94" i="1" s="1"/>
  <c r="CO94" i="1" s="1"/>
  <c r="CJ156" i="1"/>
  <c r="CM156" i="1" s="1"/>
  <c r="CP156" i="1" s="1"/>
  <c r="CJ29" i="1"/>
  <c r="CM29" i="1" s="1"/>
  <c r="CP29" i="1" s="1"/>
  <c r="CJ47" i="1"/>
  <c r="CM47" i="1" s="1"/>
  <c r="CP47" i="1" s="1"/>
  <c r="CJ36" i="1"/>
  <c r="CM36" i="1" s="1"/>
  <c r="CP36" i="1" s="1"/>
  <c r="CJ34" i="1"/>
  <c r="CL34" i="1" s="1"/>
  <c r="CO34" i="1" s="1"/>
  <c r="CJ25" i="1"/>
  <c r="CL25" i="1" s="1"/>
  <c r="CO25" i="1" s="1"/>
  <c r="CK94" i="1"/>
  <c r="CN94" i="1" s="1"/>
  <c r="CK149" i="1"/>
  <c r="CS149" i="1" s="1"/>
  <c r="CJ157" i="1"/>
  <c r="CM157" i="1" s="1"/>
  <c r="CP157" i="1" s="1"/>
  <c r="CK67" i="1"/>
  <c r="CN67" i="1" s="1"/>
  <c r="CJ49" i="1"/>
  <c r="CL49" i="1" s="1"/>
  <c r="CO49" i="1" s="1"/>
  <c r="CK156" i="1"/>
  <c r="CS156" i="1" s="1"/>
  <c r="CJ96" i="1"/>
  <c r="CM96" i="1" s="1"/>
  <c r="CP96" i="1" s="1"/>
  <c r="CJ132" i="1"/>
  <c r="CL132" i="1" s="1"/>
  <c r="CO132" i="1" s="1"/>
  <c r="CJ107" i="1"/>
  <c r="CM107" i="1" s="1"/>
  <c r="CP107" i="1" s="1"/>
  <c r="CJ75" i="1"/>
  <c r="CM75" i="1" s="1"/>
  <c r="CP75" i="1" s="1"/>
  <c r="CJ16" i="1"/>
  <c r="CM16" i="1" s="1"/>
  <c r="CP16" i="1" s="1"/>
  <c r="CJ78" i="1"/>
  <c r="CL78" i="1" s="1"/>
  <c r="CO78" i="1" s="1"/>
  <c r="CJ101" i="1"/>
  <c r="CM101" i="1" s="1"/>
  <c r="CP101" i="1" s="1"/>
  <c r="CJ37" i="1"/>
  <c r="CM37" i="1" s="1"/>
  <c r="CP37" i="1" s="1"/>
  <c r="CJ91" i="1"/>
  <c r="CM91" i="1" s="1"/>
  <c r="CP91" i="1" s="1"/>
  <c r="CJ122" i="1"/>
  <c r="CM122" i="1" s="1"/>
  <c r="CP122" i="1" s="1"/>
  <c r="CJ108" i="1"/>
  <c r="CL108" i="1" s="1"/>
  <c r="CO108" i="1" s="1"/>
  <c r="CJ79" i="1"/>
  <c r="CM79" i="1" s="1"/>
  <c r="CP79" i="1" s="1"/>
  <c r="CJ40" i="1"/>
  <c r="CL40" i="1" s="1"/>
  <c r="CO40" i="1" s="1"/>
  <c r="CJ30" i="1"/>
  <c r="CL30" i="1" s="1"/>
  <c r="CO30" i="1" s="1"/>
  <c r="CJ58" i="1"/>
  <c r="CL58" i="1" s="1"/>
  <c r="CO58" i="1" s="1"/>
  <c r="CJ128" i="1"/>
  <c r="CM128" i="1" s="1"/>
  <c r="CP128" i="1" s="1"/>
  <c r="CK155" i="1"/>
  <c r="CS155" i="1" s="1"/>
  <c r="CJ56" i="1"/>
  <c r="CM56" i="1" s="1"/>
  <c r="CP56" i="1" s="1"/>
  <c r="CJ126" i="1"/>
  <c r="CL126" i="1" s="1"/>
  <c r="CO126" i="1" s="1"/>
  <c r="CJ100" i="1"/>
  <c r="CL100" i="1" s="1"/>
  <c r="CO100" i="1" s="1"/>
  <c r="CK57" i="1"/>
  <c r="CN57" i="1" s="1"/>
  <c r="CJ28" i="1"/>
  <c r="CM28" i="1" s="1"/>
  <c r="CP28" i="1" s="1"/>
  <c r="CJ68" i="1"/>
  <c r="CL68" i="1" s="1"/>
  <c r="CO68" i="1" s="1"/>
  <c r="CJ84" i="1"/>
  <c r="CM84" i="1" s="1"/>
  <c r="CP84" i="1" s="1"/>
  <c r="CJ23" i="1"/>
  <c r="CM23" i="1" s="1"/>
  <c r="CP23" i="1" s="1"/>
  <c r="CJ115" i="1"/>
  <c r="CM115" i="1" s="1"/>
  <c r="CP115" i="1" s="1"/>
  <c r="CJ66" i="1"/>
  <c r="CM66" i="1" s="1"/>
  <c r="CP66" i="1" s="1"/>
  <c r="CJ43" i="1"/>
  <c r="CL43" i="1" s="1"/>
  <c r="CO43" i="1" s="1"/>
  <c r="CJ150" i="1"/>
  <c r="CM150" i="1" s="1"/>
  <c r="CP150" i="1" s="1"/>
  <c r="CJ127" i="1"/>
  <c r="CM127" i="1" s="1"/>
  <c r="CP127" i="1" s="1"/>
  <c r="CJ110" i="1"/>
  <c r="CM110" i="1" s="1"/>
  <c r="CP110" i="1" s="1"/>
  <c r="CK130" i="1"/>
  <c r="CS130" i="1" s="1"/>
  <c r="CJ153" i="1"/>
  <c r="CM153" i="1" s="1"/>
  <c r="CP153" i="1" s="1"/>
  <c r="CJ109" i="1"/>
  <c r="CL109" i="1" s="1"/>
  <c r="CO109" i="1" s="1"/>
  <c r="CJ125" i="1"/>
  <c r="CL125" i="1" s="1"/>
  <c r="CO125" i="1" s="1"/>
  <c r="CJ131" i="1"/>
  <c r="CL131" i="1" s="1"/>
  <c r="CO131" i="1" s="1"/>
  <c r="CK102" i="1"/>
  <c r="CS102" i="1" s="1"/>
  <c r="CJ14" i="1"/>
  <c r="CM14" i="1" s="1"/>
  <c r="CP14" i="1" s="1"/>
  <c r="CJ89" i="1"/>
  <c r="CM89" i="1" s="1"/>
  <c r="CP89" i="1" s="1"/>
  <c r="CJ93" i="1"/>
  <c r="CM93" i="1" s="1"/>
  <c r="CP93" i="1" s="1"/>
  <c r="CJ103" i="1"/>
  <c r="CM103" i="1" s="1"/>
  <c r="CP103" i="1" s="1"/>
  <c r="CJ51" i="1"/>
  <c r="CM51" i="1" s="1"/>
  <c r="CP51" i="1" s="1"/>
  <c r="CK88" i="1"/>
  <c r="CN88" i="1" s="1"/>
  <c r="CJ137" i="1"/>
  <c r="CM137" i="1" s="1"/>
  <c r="CP137" i="1" s="1"/>
  <c r="CJ48" i="1"/>
  <c r="CM48" i="1" s="1"/>
  <c r="CP48" i="1" s="1"/>
  <c r="CJ19" i="1"/>
  <c r="CM19" i="1" s="1"/>
  <c r="CP19" i="1" s="1"/>
  <c r="CJ13" i="1"/>
  <c r="CL13" i="1" s="1"/>
  <c r="CO13" i="1" s="1"/>
  <c r="CJ70" i="1"/>
  <c r="CM70" i="1" s="1"/>
  <c r="CP70" i="1" s="1"/>
  <c r="CJ111" i="1"/>
  <c r="CM111" i="1" s="1"/>
  <c r="CP111" i="1" s="1"/>
  <c r="CJ92" i="1"/>
  <c r="CM92" i="1" s="1"/>
  <c r="CP92" i="1" s="1"/>
  <c r="CJ121" i="1"/>
  <c r="CM121" i="1" s="1"/>
  <c r="CP121" i="1" s="1"/>
  <c r="CJ24" i="1"/>
  <c r="CM24" i="1" s="1"/>
  <c r="CP24" i="1" s="1"/>
  <c r="CJ32" i="1"/>
  <c r="CM32" i="1" s="1"/>
  <c r="CP32" i="1" s="1"/>
  <c r="CJ20" i="1"/>
  <c r="CM20" i="1" s="1"/>
  <c r="CP20" i="1" s="1"/>
  <c r="CJ9" i="1"/>
  <c r="CK9" i="1" s="1"/>
  <c r="CV9" i="1" s="1"/>
  <c r="CV7" i="1" s="1"/>
  <c r="CJ11" i="1"/>
  <c r="CM11" i="1" s="1"/>
  <c r="CP11" i="1" s="1"/>
  <c r="CK110" i="1"/>
  <c r="CS110" i="1" s="1"/>
  <c r="CK23" i="1"/>
  <c r="CN23" i="1" s="1"/>
  <c r="CJ62" i="1"/>
  <c r="CM62" i="1" s="1"/>
  <c r="CP62" i="1" s="1"/>
  <c r="CJ27" i="1"/>
  <c r="CL27" i="1" s="1"/>
  <c r="CO27" i="1" s="1"/>
  <c r="CK150" i="1"/>
  <c r="CS150" i="1" s="1"/>
  <c r="CJ119" i="1"/>
  <c r="CM119" i="1" s="1"/>
  <c r="CP119" i="1" s="1"/>
  <c r="CJ76" i="1"/>
  <c r="CM76" i="1" s="1"/>
  <c r="CP76" i="1" s="1"/>
  <c r="CJ60" i="1"/>
  <c r="CM60" i="1" s="1"/>
  <c r="CP60" i="1" s="1"/>
  <c r="CJ97" i="1"/>
  <c r="CL97" i="1" s="1"/>
  <c r="CO97" i="1" s="1"/>
  <c r="CJ114" i="1"/>
  <c r="CM114" i="1" s="1"/>
  <c r="CP114" i="1" s="1"/>
  <c r="CJ142" i="1"/>
  <c r="CM142" i="1" s="1"/>
  <c r="CP142" i="1" s="1"/>
  <c r="CJ31" i="1"/>
  <c r="CM31" i="1" s="1"/>
  <c r="CP31" i="1" s="1"/>
  <c r="CK20" i="1"/>
  <c r="CS20" i="1" s="1"/>
  <c r="CJ138" i="1"/>
  <c r="CM138" i="1" s="1"/>
  <c r="CP138" i="1" s="1"/>
  <c r="CJ39" i="1"/>
  <c r="CM39" i="1" s="1"/>
  <c r="CP39" i="1" s="1"/>
  <c r="CK115" i="1"/>
  <c r="CS115" i="1" s="1"/>
  <c r="CJ15" i="1"/>
  <c r="CM15" i="1" s="1"/>
  <c r="CP15" i="1" s="1"/>
  <c r="CJ81" i="1"/>
  <c r="CM81" i="1" s="1"/>
  <c r="CP81" i="1" s="1"/>
  <c r="CJ12" i="1"/>
  <c r="CM12" i="1" s="1"/>
  <c r="CP12" i="1" s="1"/>
  <c r="CJ50" i="1"/>
  <c r="CM50" i="1" s="1"/>
  <c r="CP50" i="1" s="1"/>
  <c r="CJ146" i="1"/>
  <c r="CM146" i="1" s="1"/>
  <c r="CP146" i="1" s="1"/>
  <c r="CJ104" i="1"/>
  <c r="CL104" i="1" s="1"/>
  <c r="CO104" i="1" s="1"/>
  <c r="CJ154" i="1"/>
  <c r="CM154" i="1" s="1"/>
  <c r="CP154" i="1" s="1"/>
  <c r="CJ77" i="1"/>
  <c r="CL77" i="1" s="1"/>
  <c r="CO77" i="1" s="1"/>
  <c r="CS15" i="1"/>
  <c r="CJ106" i="1"/>
  <c r="CM106" i="1" s="1"/>
  <c r="CP106" i="1" s="1"/>
  <c r="CJ133" i="1"/>
  <c r="CM133" i="1" s="1"/>
  <c r="CP133" i="1" s="1"/>
  <c r="CJ53" i="1"/>
  <c r="CL53" i="1" s="1"/>
  <c r="CO53" i="1" s="1"/>
  <c r="CJ118" i="1"/>
  <c r="CL118" i="1" s="1"/>
  <c r="CO118" i="1" s="1"/>
  <c r="CM86" i="1"/>
  <c r="CP86" i="1" s="1"/>
  <c r="CL86" i="1"/>
  <c r="CO86" i="1" s="1"/>
  <c r="CK154" i="1"/>
  <c r="CS154" i="1" s="1"/>
  <c r="CK77" i="1"/>
  <c r="CN77" i="1" s="1"/>
  <c r="CJ42" i="1"/>
  <c r="CM42" i="1" s="1"/>
  <c r="CP42" i="1" s="1"/>
  <c r="CJ99" i="1"/>
  <c r="CM99" i="1" s="1"/>
  <c r="CP99" i="1" s="1"/>
  <c r="CJ59" i="1"/>
  <c r="CM59" i="1" s="1"/>
  <c r="CP59" i="1" s="1"/>
  <c r="CL144" i="1"/>
  <c r="CO144" i="1" s="1"/>
  <c r="CN48" i="1"/>
  <c r="CS48" i="1"/>
  <c r="CS45" i="1"/>
  <c r="CN45" i="1"/>
  <c r="CN124" i="1"/>
  <c r="CS124" i="1"/>
  <c r="CS151" i="1"/>
  <c r="CN151" i="1"/>
  <c r="CS50" i="1"/>
  <c r="CN50" i="1"/>
  <c r="CN139" i="1"/>
  <c r="CS139" i="1"/>
  <c r="CN85" i="1"/>
  <c r="CS85" i="1"/>
  <c r="CN52" i="1"/>
  <c r="CS52" i="1"/>
  <c r="CN87" i="1"/>
  <c r="CS87" i="1"/>
  <c r="CN63" i="1"/>
  <c r="CS63" i="1"/>
  <c r="CS138" i="1"/>
  <c r="CN138" i="1"/>
  <c r="CS135" i="1"/>
  <c r="CN135" i="1"/>
  <c r="CS19" i="1"/>
  <c r="CN19" i="1"/>
  <c r="CL65" i="1"/>
  <c r="CO65" i="1" s="1"/>
  <c r="CL147" i="1"/>
  <c r="CO147" i="1" s="1"/>
  <c r="CM147" i="1"/>
  <c r="CP147" i="1" s="1"/>
  <c r="CN17" i="1"/>
  <c r="CS17" i="1"/>
  <c r="CN134" i="1"/>
  <c r="CS134" i="1"/>
  <c r="CN73" i="1"/>
  <c r="CS73" i="1"/>
  <c r="CS112" i="1"/>
  <c r="CN112" i="1"/>
  <c r="CS128" i="1"/>
  <c r="CN128" i="1"/>
  <c r="CS97" i="1"/>
  <c r="CN97" i="1"/>
  <c r="CN118" i="1"/>
  <c r="CS118" i="1"/>
  <c r="CS114" i="1"/>
  <c r="CN114" i="1"/>
  <c r="CS74" i="1"/>
  <c r="CN74" i="1"/>
  <c r="CS49" i="1"/>
  <c r="CN49" i="1"/>
  <c r="CS84" i="1"/>
  <c r="CN84" i="1"/>
  <c r="CS32" i="1"/>
  <c r="CN32" i="1"/>
  <c r="CS22" i="1"/>
  <c r="CN22" i="1"/>
  <c r="CN98" i="1"/>
  <c r="CS98" i="1"/>
  <c r="CS36" i="1"/>
  <c r="CN36" i="1"/>
  <c r="CN109" i="1"/>
  <c r="CS109" i="1"/>
  <c r="CS42" i="1"/>
  <c r="CN42" i="1"/>
  <c r="CS125" i="1"/>
  <c r="CN125" i="1"/>
  <c r="CN96" i="1"/>
  <c r="CS96" i="1"/>
  <c r="CS38" i="1"/>
  <c r="CN38" i="1"/>
  <c r="CN147" i="1"/>
  <c r="CS147" i="1"/>
  <c r="CS51" i="1"/>
  <c r="CN51" i="1"/>
  <c r="CN82" i="1"/>
  <c r="CS82" i="1"/>
  <c r="CL151" i="1"/>
  <c r="CO151" i="1" s="1"/>
  <c r="CS40" i="1"/>
  <c r="CN40" i="1"/>
  <c r="CS43" i="1"/>
  <c r="CN43" i="1"/>
  <c r="CS78" i="1"/>
  <c r="CN78" i="1"/>
  <c r="CN27" i="1"/>
  <c r="CS27" i="1"/>
  <c r="CS141" i="1"/>
  <c r="CN141" i="1"/>
  <c r="CS146" i="1"/>
  <c r="CN146" i="1"/>
  <c r="CS95" i="1"/>
  <c r="CN95" i="1"/>
  <c r="CN64" i="1"/>
  <c r="CS64" i="1"/>
  <c r="CS143" i="1"/>
  <c r="CN143" i="1"/>
  <c r="CS25" i="1"/>
  <c r="CN25" i="1"/>
  <c r="CS92" i="1"/>
  <c r="CN92" i="1"/>
  <c r="CS46" i="1"/>
  <c r="CN46" i="1"/>
  <c r="CS41" i="1"/>
  <c r="CN41" i="1"/>
  <c r="CS76" i="1"/>
  <c r="CN76" i="1"/>
  <c r="CS136" i="1"/>
  <c r="CN136" i="1"/>
  <c r="CN30" i="1"/>
  <c r="CS30" i="1"/>
  <c r="CS70" i="1"/>
  <c r="CN70" i="1"/>
  <c r="CN26" i="1"/>
  <c r="CS26" i="1"/>
  <c r="CN60" i="1"/>
  <c r="CS60" i="1"/>
  <c r="CN91" i="1"/>
  <c r="CS91" i="1"/>
  <c r="CN65" i="1"/>
  <c r="CS65" i="1"/>
  <c r="CS54" i="1"/>
  <c r="CN54" i="1"/>
  <c r="CS53" i="1"/>
  <c r="CN53" i="1"/>
  <c r="CS107" i="1"/>
  <c r="CN107" i="1"/>
  <c r="CN93" i="1"/>
  <c r="CS93" i="1"/>
  <c r="CS35" i="1"/>
  <c r="CN35" i="1"/>
  <c r="CN58" i="1"/>
  <c r="CS58" i="1"/>
  <c r="CN28" i="1"/>
  <c r="CS28" i="1"/>
  <c r="CS21" i="1"/>
  <c r="CN21" i="1"/>
  <c r="CS132" i="1"/>
  <c r="CN132" i="1"/>
  <c r="CS127" i="1"/>
  <c r="CN127" i="1"/>
  <c r="CN126" i="1"/>
  <c r="CS126" i="1"/>
  <c r="CS59" i="1"/>
  <c r="CN59" i="1"/>
  <c r="CS34" i="1"/>
  <c r="CN34" i="1"/>
  <c r="CS89" i="1"/>
  <c r="CN89" i="1"/>
  <c r="CS157" i="1"/>
  <c r="CN157" i="1"/>
  <c r="CL136" i="1"/>
  <c r="CO136" i="1" s="1"/>
  <c r="CS148" i="1"/>
  <c r="CN148" i="1"/>
  <c r="CS105" i="1"/>
  <c r="CN105" i="1"/>
  <c r="CS86" i="1"/>
  <c r="CN86" i="1"/>
  <c r="CN66" i="1"/>
  <c r="CS66" i="1"/>
  <c r="CS18" i="1"/>
  <c r="CN18" i="1"/>
  <c r="CS24" i="1"/>
  <c r="CN24" i="1"/>
  <c r="CS56" i="1"/>
  <c r="CN56" i="1"/>
  <c r="CS80" i="1"/>
  <c r="CN80" i="1"/>
  <c r="CS11" i="1"/>
  <c r="CN11" i="1"/>
  <c r="CN68" i="1"/>
  <c r="CS68" i="1"/>
  <c r="CS133" i="1"/>
  <c r="CN133" i="1"/>
  <c r="CN44" i="1"/>
  <c r="CS44" i="1"/>
  <c r="CN99" i="1"/>
  <c r="CS99" i="1"/>
  <c r="CS37" i="1"/>
  <c r="CN37" i="1"/>
  <c r="CN158" i="1"/>
  <c r="CS158" i="1"/>
  <c r="CN39" i="1"/>
  <c r="CS39" i="1"/>
  <c r="CN121" i="1"/>
  <c r="CS121" i="1"/>
  <c r="CN145" i="1"/>
  <c r="CS145" i="1"/>
  <c r="CS117" i="1"/>
  <c r="CN117" i="1"/>
  <c r="CS47" i="1"/>
  <c r="CN47" i="1"/>
  <c r="CN106" i="1"/>
  <c r="CS106" i="1"/>
  <c r="CN103" i="1"/>
  <c r="CS103" i="1"/>
  <c r="CN108" i="1"/>
  <c r="CS108" i="1"/>
  <c r="CS79" i="1"/>
  <c r="CN79" i="1"/>
  <c r="CN152" i="1"/>
  <c r="CS152" i="1"/>
  <c r="CN137" i="1"/>
  <c r="CS137" i="1"/>
  <c r="CS62" i="1"/>
  <c r="CN62" i="1"/>
  <c r="CS75" i="1"/>
  <c r="CN75" i="1"/>
  <c r="CS119" i="1"/>
  <c r="CN119" i="1"/>
  <c r="CS14" i="1"/>
  <c r="CN14" i="1"/>
  <c r="CS122" i="1"/>
  <c r="CN122" i="1"/>
  <c r="CN142" i="1"/>
  <c r="CS142" i="1"/>
  <c r="CN83" i="1"/>
  <c r="CS83" i="1"/>
  <c r="CS10" i="1"/>
  <c r="CN10" i="1"/>
  <c r="CS100" i="1"/>
  <c r="CN100" i="1"/>
  <c r="CN13" i="1"/>
  <c r="CS13" i="1"/>
  <c r="CN81" i="1"/>
  <c r="CS81" i="1"/>
  <c r="CS111" i="1"/>
  <c r="CN111" i="1"/>
  <c r="CS123" i="1"/>
  <c r="CN123" i="1"/>
  <c r="CN71" i="1"/>
  <c r="CS71" i="1"/>
  <c r="CN31" i="1"/>
  <c r="CS31" i="1"/>
  <c r="CN90" i="1"/>
  <c r="CS90" i="1"/>
  <c r="CS153" i="1"/>
  <c r="CN153" i="1"/>
  <c r="CN129" i="1"/>
  <c r="CS129" i="1"/>
  <c r="CS16" i="1"/>
  <c r="CN16" i="1"/>
  <c r="CN33" i="1"/>
  <c r="CS33" i="1"/>
  <c r="CN104" i="1"/>
  <c r="CS104" i="1"/>
  <c r="CS29" i="1"/>
  <c r="CN29" i="1"/>
  <c r="CN61" i="1"/>
  <c r="CS61" i="1"/>
  <c r="CN101" i="1"/>
  <c r="CS101" i="1"/>
  <c r="CN55" i="1"/>
  <c r="CS55" i="1"/>
  <c r="CS131" i="1"/>
  <c r="CN131" i="1"/>
  <c r="CN12" i="1"/>
  <c r="CS12" i="1"/>
  <c r="CL82" i="1"/>
  <c r="CO82" i="1" s="1"/>
  <c r="CN144" i="1"/>
  <c r="CS144" i="1"/>
  <c r="CL10" i="1" l="1"/>
  <c r="CO10" i="1" s="1"/>
  <c r="CQ10" i="1" s="1"/>
  <c r="CL87" i="1"/>
  <c r="CO87" i="1" s="1"/>
  <c r="CL152" i="1"/>
  <c r="CO152" i="1" s="1"/>
  <c r="CL112" i="1"/>
  <c r="CO112" i="1" s="1"/>
  <c r="CQ112" i="1" s="1"/>
  <c r="CM74" i="1"/>
  <c r="CP74" i="1" s="1"/>
  <c r="CQ74" i="1" s="1"/>
  <c r="CM69" i="1"/>
  <c r="CP69" i="1" s="1"/>
  <c r="CL98" i="1"/>
  <c r="CO98" i="1" s="1"/>
  <c r="CQ98" i="1" s="1"/>
  <c r="CS67" i="1"/>
  <c r="CM120" i="1"/>
  <c r="CP120" i="1" s="1"/>
  <c r="CL18" i="1"/>
  <c r="CO18" i="1" s="1"/>
  <c r="CQ18" i="1" s="1"/>
  <c r="CL145" i="1"/>
  <c r="CO145" i="1" s="1"/>
  <c r="CQ145" i="1" s="1"/>
  <c r="CL85" i="1"/>
  <c r="CO85" i="1" s="1"/>
  <c r="CQ85" i="1" s="1"/>
  <c r="CL46" i="1"/>
  <c r="CO46" i="1" s="1"/>
  <c r="CQ46" i="1" s="1"/>
  <c r="CN120" i="1"/>
  <c r="CM124" i="1"/>
  <c r="CP124" i="1" s="1"/>
  <c r="CQ124" i="1" s="1"/>
  <c r="CL80" i="1"/>
  <c r="CO80" i="1" s="1"/>
  <c r="CQ80" i="1" s="1"/>
  <c r="CL60" i="1"/>
  <c r="CO60" i="1" s="1"/>
  <c r="CQ60" i="1" s="1"/>
  <c r="CL11" i="1"/>
  <c r="CO11" i="1" s="1"/>
  <c r="CQ11" i="1" s="1"/>
  <c r="CL26" i="1"/>
  <c r="CO26" i="1" s="1"/>
  <c r="CQ26" i="1" s="1"/>
  <c r="CL96" i="1"/>
  <c r="CO96" i="1" s="1"/>
  <c r="CQ96" i="1" s="1"/>
  <c r="CM123" i="1"/>
  <c r="CP123" i="1" s="1"/>
  <c r="CQ123" i="1" s="1"/>
  <c r="CL72" i="1"/>
  <c r="CO72" i="1" s="1"/>
  <c r="CQ72" i="1" s="1"/>
  <c r="CL44" i="1"/>
  <c r="CO44" i="1" s="1"/>
  <c r="CQ44" i="1" s="1"/>
  <c r="CM63" i="1"/>
  <c r="CP63" i="1" s="1"/>
  <c r="CQ63" i="1" s="1"/>
  <c r="CL61" i="1"/>
  <c r="CO61" i="1" s="1"/>
  <c r="CQ61" i="1" s="1"/>
  <c r="CU9" i="1"/>
  <c r="CU7" i="1" s="1"/>
  <c r="CN154" i="1"/>
  <c r="CL139" i="1"/>
  <c r="CO139" i="1" s="1"/>
  <c r="CQ139" i="1" s="1"/>
  <c r="CL154" i="1"/>
  <c r="CO154" i="1" s="1"/>
  <c r="CM108" i="1"/>
  <c r="CP108" i="1" s="1"/>
  <c r="CQ108" i="1" s="1"/>
  <c r="CL21" i="1"/>
  <c r="CO21" i="1" s="1"/>
  <c r="CQ21" i="1" s="1"/>
  <c r="CS72" i="1"/>
  <c r="CL105" i="1"/>
  <c r="CO105" i="1" s="1"/>
  <c r="CQ105" i="1" s="1"/>
  <c r="CM132" i="1"/>
  <c r="CP132" i="1" s="1"/>
  <c r="CQ132" i="1" s="1"/>
  <c r="CL55" i="1"/>
  <c r="CO55" i="1" s="1"/>
  <c r="CQ55" i="1" s="1"/>
  <c r="CL17" i="1"/>
  <c r="CO17" i="1" s="1"/>
  <c r="CQ17" i="1" s="1"/>
  <c r="CL134" i="1"/>
  <c r="CO134" i="1" s="1"/>
  <c r="CQ134" i="1" s="1"/>
  <c r="CL64" i="1"/>
  <c r="CO64" i="1" s="1"/>
  <c r="CQ64" i="1" s="1"/>
  <c r="CM109" i="1"/>
  <c r="CP109" i="1" s="1"/>
  <c r="CQ109" i="1" s="1"/>
  <c r="CM22" i="1"/>
  <c r="CP22" i="1" s="1"/>
  <c r="CQ22" i="1" s="1"/>
  <c r="CL114" i="1"/>
  <c r="CO114" i="1" s="1"/>
  <c r="CQ114" i="1" s="1"/>
  <c r="CL149" i="1"/>
  <c r="CO149" i="1" s="1"/>
  <c r="CM41" i="1"/>
  <c r="CP41" i="1" s="1"/>
  <c r="CQ41" i="1" s="1"/>
  <c r="CL158" i="1"/>
  <c r="CO158" i="1" s="1"/>
  <c r="CQ158" i="1" s="1"/>
  <c r="CL135" i="1"/>
  <c r="CO135" i="1" s="1"/>
  <c r="CQ135" i="1" s="1"/>
  <c r="CN69" i="1"/>
  <c r="CQ69" i="1" s="1"/>
  <c r="CL92" i="1"/>
  <c r="CO92" i="1" s="1"/>
  <c r="CQ92" i="1" s="1"/>
  <c r="CL29" i="1"/>
  <c r="CO29" i="1" s="1"/>
  <c r="CQ29" i="1" s="1"/>
  <c r="CL122" i="1"/>
  <c r="CO122" i="1" s="1"/>
  <c r="CQ122" i="1" s="1"/>
  <c r="CM95" i="1"/>
  <c r="CP95" i="1" s="1"/>
  <c r="CQ95" i="1" s="1"/>
  <c r="CN149" i="1"/>
  <c r="CM45" i="1"/>
  <c r="CP45" i="1" s="1"/>
  <c r="CQ45" i="1" s="1"/>
  <c r="CN155" i="1"/>
  <c r="CL130" i="1"/>
  <c r="CO130" i="1" s="1"/>
  <c r="CM113" i="1"/>
  <c r="CP113" i="1" s="1"/>
  <c r="CL54" i="1"/>
  <c r="CO54" i="1" s="1"/>
  <c r="CQ54" i="1" s="1"/>
  <c r="CS23" i="1"/>
  <c r="CL88" i="1"/>
  <c r="CO88" i="1" s="1"/>
  <c r="CQ88" i="1" s="1"/>
  <c r="CL155" i="1"/>
  <c r="CO155" i="1" s="1"/>
  <c r="CL90" i="1"/>
  <c r="CO90" i="1" s="1"/>
  <c r="CQ90" i="1" s="1"/>
  <c r="CM78" i="1"/>
  <c r="CP78" i="1" s="1"/>
  <c r="CQ78" i="1" s="1"/>
  <c r="CM40" i="1"/>
  <c r="CP40" i="1" s="1"/>
  <c r="CQ40" i="1" s="1"/>
  <c r="CM67" i="1"/>
  <c r="CP67" i="1" s="1"/>
  <c r="CQ67" i="1" s="1"/>
  <c r="CM73" i="1"/>
  <c r="CP73" i="1" s="1"/>
  <c r="CQ73" i="1" s="1"/>
  <c r="CL38" i="1"/>
  <c r="CO38" i="1" s="1"/>
  <c r="CQ38" i="1" s="1"/>
  <c r="CL140" i="1"/>
  <c r="CO140" i="1" s="1"/>
  <c r="CL143" i="1"/>
  <c r="CO143" i="1" s="1"/>
  <c r="CQ143" i="1" s="1"/>
  <c r="CL66" i="1"/>
  <c r="CO66" i="1" s="1"/>
  <c r="CQ66" i="1" s="1"/>
  <c r="CM71" i="1"/>
  <c r="CP71" i="1" s="1"/>
  <c r="CQ71" i="1" s="1"/>
  <c r="CL83" i="1"/>
  <c r="CO83" i="1" s="1"/>
  <c r="CQ83" i="1" s="1"/>
  <c r="CL117" i="1"/>
  <c r="CO117" i="1" s="1"/>
  <c r="CQ117" i="1" s="1"/>
  <c r="CM52" i="1"/>
  <c r="CP52" i="1" s="1"/>
  <c r="CQ52" i="1" s="1"/>
  <c r="CM100" i="1"/>
  <c r="CP100" i="1" s="1"/>
  <c r="CQ100" i="1" s="1"/>
  <c r="CL79" i="1"/>
  <c r="CO79" i="1" s="1"/>
  <c r="CQ79" i="1" s="1"/>
  <c r="CM13" i="1"/>
  <c r="CP13" i="1" s="1"/>
  <c r="CQ13" i="1" s="1"/>
  <c r="CL137" i="1"/>
  <c r="CO137" i="1" s="1"/>
  <c r="CQ137" i="1" s="1"/>
  <c r="CM94" i="1"/>
  <c r="CP94" i="1" s="1"/>
  <c r="CQ94" i="1" s="1"/>
  <c r="CS94" i="1"/>
  <c r="CL39" i="1"/>
  <c r="CO39" i="1" s="1"/>
  <c r="CQ39" i="1" s="1"/>
  <c r="CN156" i="1"/>
  <c r="CL101" i="1"/>
  <c r="CO101" i="1" s="1"/>
  <c r="CQ101" i="1" s="1"/>
  <c r="CL33" i="1"/>
  <c r="CO33" i="1" s="1"/>
  <c r="CQ33" i="1" s="1"/>
  <c r="CM27" i="1"/>
  <c r="CP27" i="1" s="1"/>
  <c r="CQ27" i="1" s="1"/>
  <c r="CM131" i="1"/>
  <c r="CP131" i="1" s="1"/>
  <c r="CQ131" i="1" s="1"/>
  <c r="CL89" i="1"/>
  <c r="CO89" i="1" s="1"/>
  <c r="CQ89" i="1" s="1"/>
  <c r="CM43" i="1"/>
  <c r="CP43" i="1" s="1"/>
  <c r="CQ43" i="1" s="1"/>
  <c r="CN110" i="1"/>
  <c r="CL129" i="1"/>
  <c r="CO129" i="1" s="1"/>
  <c r="CQ129" i="1" s="1"/>
  <c r="CL116" i="1"/>
  <c r="CO116" i="1" s="1"/>
  <c r="CL156" i="1"/>
  <c r="CO156" i="1" s="1"/>
  <c r="CM49" i="1"/>
  <c r="CP49" i="1" s="1"/>
  <c r="CQ49" i="1" s="1"/>
  <c r="CL141" i="1"/>
  <c r="CO141" i="1" s="1"/>
  <c r="CQ141" i="1" s="1"/>
  <c r="CL111" i="1"/>
  <c r="CO111" i="1" s="1"/>
  <c r="CQ111" i="1" s="1"/>
  <c r="CL51" i="1"/>
  <c r="CO51" i="1" s="1"/>
  <c r="CQ51" i="1" s="1"/>
  <c r="CS57" i="1"/>
  <c r="CN113" i="1"/>
  <c r="CN140" i="1"/>
  <c r="CL57" i="1"/>
  <c r="CO57" i="1" s="1"/>
  <c r="CQ57" i="1" s="1"/>
  <c r="CL32" i="1"/>
  <c r="CO32" i="1" s="1"/>
  <c r="CQ32" i="1" s="1"/>
  <c r="CN116" i="1"/>
  <c r="CM148" i="1"/>
  <c r="CP148" i="1" s="1"/>
  <c r="CQ148" i="1" s="1"/>
  <c r="CL59" i="1"/>
  <c r="CO59" i="1" s="1"/>
  <c r="CQ59" i="1" s="1"/>
  <c r="CL157" i="1"/>
  <c r="CO157" i="1" s="1"/>
  <c r="CQ157" i="1" s="1"/>
  <c r="CN102" i="1"/>
  <c r="CL48" i="1"/>
  <c r="CO48" i="1" s="1"/>
  <c r="CQ48" i="1" s="1"/>
  <c r="CL47" i="1"/>
  <c r="CO47" i="1" s="1"/>
  <c r="CQ47" i="1" s="1"/>
  <c r="CM104" i="1"/>
  <c r="CP104" i="1" s="1"/>
  <c r="CQ104" i="1" s="1"/>
  <c r="CN20" i="1"/>
  <c r="CL107" i="1"/>
  <c r="CO107" i="1" s="1"/>
  <c r="CQ107" i="1" s="1"/>
  <c r="CL36" i="1"/>
  <c r="CO36" i="1" s="1"/>
  <c r="CQ36" i="1" s="1"/>
  <c r="CL91" i="1"/>
  <c r="CO91" i="1" s="1"/>
  <c r="CQ91" i="1" s="1"/>
  <c r="CT9" i="1"/>
  <c r="CT7" i="1" s="1"/>
  <c r="CL75" i="1"/>
  <c r="CO75" i="1" s="1"/>
  <c r="CQ75" i="1" s="1"/>
  <c r="CN9" i="1"/>
  <c r="CL19" i="1"/>
  <c r="CO19" i="1" s="1"/>
  <c r="CQ19" i="1" s="1"/>
  <c r="CL99" i="1"/>
  <c r="CO99" i="1" s="1"/>
  <c r="CQ99" i="1" s="1"/>
  <c r="CM34" i="1"/>
  <c r="CP34" i="1" s="1"/>
  <c r="CQ34" i="1" s="1"/>
  <c r="CW9" i="1"/>
  <c r="CW7" i="1" s="1"/>
  <c r="CL128" i="1"/>
  <c r="CO128" i="1" s="1"/>
  <c r="CQ128" i="1" s="1"/>
  <c r="CL50" i="1"/>
  <c r="CO50" i="1" s="1"/>
  <c r="CQ50" i="1" s="1"/>
  <c r="CL110" i="1"/>
  <c r="CO110" i="1" s="1"/>
  <c r="CL127" i="1"/>
  <c r="CO127" i="1" s="1"/>
  <c r="CQ127" i="1" s="1"/>
  <c r="CL16" i="1"/>
  <c r="CO16" i="1" s="1"/>
  <c r="CQ16" i="1" s="1"/>
  <c r="CM9" i="1"/>
  <c r="DE9" i="1" s="1"/>
  <c r="DE7" i="1" s="1"/>
  <c r="CM68" i="1"/>
  <c r="CP68" i="1" s="1"/>
  <c r="CQ68" i="1" s="1"/>
  <c r="CL35" i="1"/>
  <c r="CO35" i="1" s="1"/>
  <c r="CQ35" i="1" s="1"/>
  <c r="CL9" i="1"/>
  <c r="CX9" i="1" s="1"/>
  <c r="CX7" i="1" s="1"/>
  <c r="CM25" i="1"/>
  <c r="CP25" i="1" s="1"/>
  <c r="CQ25" i="1" s="1"/>
  <c r="CS9" i="1"/>
  <c r="CL102" i="1"/>
  <c r="CO102" i="1" s="1"/>
  <c r="CM30" i="1"/>
  <c r="CP30" i="1" s="1"/>
  <c r="CQ30" i="1" s="1"/>
  <c r="CL142" i="1"/>
  <c r="CO142" i="1" s="1"/>
  <c r="CQ142" i="1" s="1"/>
  <c r="CN115" i="1"/>
  <c r="CL93" i="1"/>
  <c r="CO93" i="1" s="1"/>
  <c r="CQ93" i="1" s="1"/>
  <c r="CL14" i="1"/>
  <c r="CO14" i="1" s="1"/>
  <c r="CQ14" i="1" s="1"/>
  <c r="CL115" i="1"/>
  <c r="CO115" i="1" s="1"/>
  <c r="CL28" i="1"/>
  <c r="CO28" i="1" s="1"/>
  <c r="CQ28" i="1" s="1"/>
  <c r="CM58" i="1"/>
  <c r="CP58" i="1" s="1"/>
  <c r="CQ58" i="1" s="1"/>
  <c r="CM125" i="1"/>
  <c r="CP125" i="1" s="1"/>
  <c r="CQ125" i="1" s="1"/>
  <c r="CL62" i="1"/>
  <c r="CO62" i="1" s="1"/>
  <c r="CQ62" i="1" s="1"/>
  <c r="CM126" i="1"/>
  <c r="CP126" i="1" s="1"/>
  <c r="CQ126" i="1" s="1"/>
  <c r="CL56" i="1"/>
  <c r="CO56" i="1" s="1"/>
  <c r="CQ56" i="1" s="1"/>
  <c r="CL150" i="1"/>
  <c r="CO150" i="1" s="1"/>
  <c r="CM77" i="1"/>
  <c r="CP77" i="1" s="1"/>
  <c r="CQ77" i="1" s="1"/>
  <c r="CM97" i="1"/>
  <c r="CP97" i="1" s="1"/>
  <c r="CQ97" i="1" s="1"/>
  <c r="CS88" i="1"/>
  <c r="CL37" i="1"/>
  <c r="CO37" i="1" s="1"/>
  <c r="CQ37" i="1" s="1"/>
  <c r="CL20" i="1"/>
  <c r="CO20" i="1" s="1"/>
  <c r="CL121" i="1"/>
  <c r="CO121" i="1" s="1"/>
  <c r="CQ121" i="1" s="1"/>
  <c r="CL70" i="1"/>
  <c r="CO70" i="1" s="1"/>
  <c r="CQ70" i="1" s="1"/>
  <c r="CL81" i="1"/>
  <c r="CO81" i="1" s="1"/>
  <c r="CQ81" i="1" s="1"/>
  <c r="CL23" i="1"/>
  <c r="CO23" i="1" s="1"/>
  <c r="CQ23" i="1" s="1"/>
  <c r="CL24" i="1"/>
  <c r="CO24" i="1" s="1"/>
  <c r="CQ24" i="1" s="1"/>
  <c r="CL42" i="1"/>
  <c r="CO42" i="1" s="1"/>
  <c r="CQ42" i="1" s="1"/>
  <c r="CL146" i="1"/>
  <c r="CO146" i="1" s="1"/>
  <c r="CQ146" i="1" s="1"/>
  <c r="CN130" i="1"/>
  <c r="CL103" i="1"/>
  <c r="CO103" i="1" s="1"/>
  <c r="CQ103" i="1" s="1"/>
  <c r="CL15" i="1"/>
  <c r="CO15" i="1" s="1"/>
  <c r="CQ15" i="1" s="1"/>
  <c r="CL84" i="1"/>
  <c r="CO84" i="1" s="1"/>
  <c r="CQ84" i="1" s="1"/>
  <c r="CL76" i="1"/>
  <c r="CO76" i="1" s="1"/>
  <c r="CQ76" i="1" s="1"/>
  <c r="CM118" i="1"/>
  <c r="CP118" i="1" s="1"/>
  <c r="CQ118" i="1" s="1"/>
  <c r="CL138" i="1"/>
  <c r="CO138" i="1" s="1"/>
  <c r="CQ138" i="1" s="1"/>
  <c r="CM53" i="1"/>
  <c r="CP53" i="1" s="1"/>
  <c r="CQ53" i="1" s="1"/>
  <c r="CL153" i="1"/>
  <c r="CO153" i="1" s="1"/>
  <c r="CQ153" i="1" s="1"/>
  <c r="CL119" i="1"/>
  <c r="CO119" i="1" s="1"/>
  <c r="CQ119" i="1" s="1"/>
  <c r="CS77" i="1"/>
  <c r="CQ86" i="1"/>
  <c r="CN150" i="1"/>
  <c r="CL133" i="1"/>
  <c r="CO133" i="1" s="1"/>
  <c r="CQ133" i="1" s="1"/>
  <c r="CL31" i="1"/>
  <c r="CO31" i="1" s="1"/>
  <c r="CQ31" i="1" s="1"/>
  <c r="CL12" i="1"/>
  <c r="CO12" i="1" s="1"/>
  <c r="CQ12" i="1" s="1"/>
  <c r="CL106" i="1"/>
  <c r="CO106" i="1" s="1"/>
  <c r="CQ106" i="1" s="1"/>
  <c r="CQ65" i="1"/>
  <c r="CQ144" i="1"/>
  <c r="CQ147" i="1"/>
  <c r="CQ151" i="1"/>
  <c r="CQ136" i="1"/>
  <c r="CQ152" i="1"/>
  <c r="CQ82" i="1"/>
  <c r="CQ87" i="1"/>
  <c r="CQ130" i="1" l="1"/>
  <c r="CQ120" i="1"/>
  <c r="CQ149" i="1"/>
  <c r="CQ154" i="1"/>
  <c r="DG9" i="1"/>
  <c r="DG7" i="1" s="1"/>
  <c r="CQ140" i="1"/>
  <c r="CQ113" i="1"/>
  <c r="CY9" i="1"/>
  <c r="CY7" i="1" s="1"/>
  <c r="CQ155" i="1"/>
  <c r="CQ102" i="1"/>
  <c r="CQ156" i="1"/>
  <c r="CQ110" i="1"/>
  <c r="DA9" i="1"/>
  <c r="DA7" i="1" s="1"/>
  <c r="CZ9" i="1"/>
  <c r="CZ7" i="1" s="1"/>
  <c r="CO9" i="1"/>
  <c r="DB9" i="1"/>
  <c r="DB7" i="1" s="1"/>
  <c r="CQ20" i="1"/>
  <c r="CQ116" i="1"/>
  <c r="DF9" i="1"/>
  <c r="DF7" i="1" s="1"/>
  <c r="CP9" i="1"/>
  <c r="DD9" i="1"/>
  <c r="DD7" i="1" s="1"/>
  <c r="DC9" i="1"/>
  <c r="DC7" i="1" s="1"/>
  <c r="CS7" i="1"/>
  <c r="CQ150" i="1"/>
  <c r="CQ115" i="1"/>
  <c r="CQ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<sst xmlns="http://schemas.openxmlformats.org/spreadsheetml/2006/main" count="296" uniqueCount="63">
  <si>
    <t>sepal_length</t>
  </si>
  <si>
    <t>sepal_width</t>
  </si>
  <si>
    <t>petal_length</t>
  </si>
  <si>
    <t>petal_width</t>
  </si>
  <si>
    <t>species</t>
  </si>
  <si>
    <t>Iris-setosa</t>
  </si>
  <si>
    <t>Iris-versicolor</t>
  </si>
  <si>
    <t>Iris-virginica</t>
  </si>
  <si>
    <t>Max</t>
  </si>
  <si>
    <t>Min</t>
  </si>
  <si>
    <t>Weights/Biases</t>
  </si>
  <si>
    <t>Initial Values</t>
  </si>
  <si>
    <t>Weight 1 (W11)</t>
  </si>
  <si>
    <t>Weight 2 (W12)</t>
  </si>
  <si>
    <t>Weight 3 (W13)</t>
  </si>
  <si>
    <t>Weight 4 (W14)</t>
  </si>
  <si>
    <t>Weight 5 (W21)</t>
  </si>
  <si>
    <t>Weight 6 (W22)</t>
  </si>
  <si>
    <t>Weight 7 (W23)</t>
  </si>
  <si>
    <t>Weight 8 (W24)</t>
  </si>
  <si>
    <t>Weight 9 (W31)</t>
  </si>
  <si>
    <t>Weight 10 (W32)</t>
  </si>
  <si>
    <t>Weight 11 (W33)</t>
  </si>
  <si>
    <t>Weight 12 (W34)</t>
  </si>
  <si>
    <t>Bias 1</t>
  </si>
  <si>
    <t>Bias 2</t>
  </si>
  <si>
    <t>Bias 3</t>
  </si>
  <si>
    <t>Output 1</t>
  </si>
  <si>
    <t>Input 1</t>
  </si>
  <si>
    <t>Input 2</t>
  </si>
  <si>
    <t>Input 3</t>
  </si>
  <si>
    <t>Input 4</t>
  </si>
  <si>
    <t>Bias</t>
  </si>
  <si>
    <t>Output 2</t>
  </si>
  <si>
    <t>Output 3</t>
  </si>
  <si>
    <t>Exp 1</t>
  </si>
  <si>
    <t>Exp 2</t>
  </si>
  <si>
    <t>Exp 3</t>
  </si>
  <si>
    <t>Exp Sum</t>
  </si>
  <si>
    <t>Softmax 1</t>
  </si>
  <si>
    <t>Softmax 2</t>
  </si>
  <si>
    <t>Softmax 3</t>
  </si>
  <si>
    <t>Loss 1</t>
  </si>
  <si>
    <t>Loss 2</t>
  </si>
  <si>
    <t>Loss 3</t>
  </si>
  <si>
    <t>Sum Loss</t>
  </si>
  <si>
    <t>W11</t>
  </si>
  <si>
    <t>W12</t>
  </si>
  <si>
    <t>W13</t>
  </si>
  <si>
    <t>W14</t>
  </si>
  <si>
    <t>b1</t>
  </si>
  <si>
    <t>W21</t>
  </si>
  <si>
    <t>W22</t>
  </si>
  <si>
    <t>W23</t>
  </si>
  <si>
    <t>W24</t>
  </si>
  <si>
    <t>b2</t>
  </si>
  <si>
    <t>W31</t>
  </si>
  <si>
    <t>W32</t>
  </si>
  <si>
    <t>W33</t>
  </si>
  <si>
    <t>W34</t>
  </si>
  <si>
    <t>b3</t>
  </si>
  <si>
    <t>Sum Grad</t>
  </si>
  <si>
    <t>Learning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</si>
</sst>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Montserrat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2" fontId="18" fillId="0" borderId="0" xfId="0" applyNumberFormat="1" applyFont="1"/>
    <xf numFmtId="1" fontId="18" fillId="0" borderId="0" xfId="0" applyNumberFormat="1" applyFont="1"/>
    <xf numFmtId="0" fontId="18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99E43-954D-493B-BDA3-52794C9D7164}">
  <dimension ref="A3:B26"/>
  <sheetViews>
    <sheetView workbookViewId="0">
      <selection activeCell="A3" sqref="A3:B3"/>
    </sheetView>
    <sheetView workbookViewId="1"/>
  </sheetViews>
  <sheetFormatPr defaultRowHeight="15" x14ac:dyDescent="0.25"/>
  <cols>
    <col min="1" max="1" width="14.7109375" customWidth="1"/>
  </cols>
  <sheetData>
    <row r="3" spans="1:2" x14ac:dyDescent="0.25">
      <c r="A3" s="1" t="s">
        <v>62</v>
      </c>
      <c r="B3" s="1">
        <v>0.01</v>
      </c>
    </row>
    <row r="11" spans="1:2" x14ac:dyDescent="0.25">
      <c r="A11" s="1" t="s">
        <v>10</v>
      </c>
      <c r="B11" s="1" t="s">
        <v>11</v>
      </c>
    </row>
    <row r="12" spans="1:2" x14ac:dyDescent="0.25">
      <c r="A12" s="1" t="s">
        <v>12</v>
      </c>
      <c r="B12" s="1">
        <v>0.1</v>
      </c>
    </row>
    <row r="13" spans="1:2" x14ac:dyDescent="0.25">
      <c r="A13" s="1" t="s">
        <v>13</v>
      </c>
      <c r="B13" s="1">
        <v>0.1</v>
      </c>
    </row>
    <row r="14" spans="1:2" x14ac:dyDescent="0.25">
      <c r="A14" s="1" t="s">
        <v>14</v>
      </c>
      <c r="B14" s="1">
        <v>0.1</v>
      </c>
    </row>
    <row r="15" spans="1:2" x14ac:dyDescent="0.25">
      <c r="A15" s="1" t="s">
        <v>15</v>
      </c>
      <c r="B15" s="1">
        <v>0.1</v>
      </c>
    </row>
    <row r="16" spans="1:2" x14ac:dyDescent="0.25">
      <c r="A16" s="1" t="s">
        <v>16</v>
      </c>
      <c r="B16" s="1">
        <v>0.1</v>
      </c>
    </row>
    <row r="17" spans="1:2" x14ac:dyDescent="0.25">
      <c r="A17" s="1" t="s">
        <v>17</v>
      </c>
      <c r="B17" s="1">
        <v>0.1</v>
      </c>
    </row>
    <row r="18" spans="1:2" x14ac:dyDescent="0.25">
      <c r="A18" s="1" t="s">
        <v>18</v>
      </c>
      <c r="B18" s="1">
        <v>0.1</v>
      </c>
    </row>
    <row r="19" spans="1:2" x14ac:dyDescent="0.25">
      <c r="A19" s="1" t="s">
        <v>19</v>
      </c>
      <c r="B19" s="1">
        <v>0.1</v>
      </c>
    </row>
    <row r="20" spans="1:2" x14ac:dyDescent="0.25">
      <c r="A20" s="1" t="s">
        <v>20</v>
      </c>
      <c r="B20" s="1">
        <v>0.1</v>
      </c>
    </row>
    <row r="21" spans="1:2" x14ac:dyDescent="0.25">
      <c r="A21" s="1" t="s">
        <v>21</v>
      </c>
      <c r="B21" s="1">
        <v>0.1</v>
      </c>
    </row>
    <row r="22" spans="1:2" x14ac:dyDescent="0.25">
      <c r="A22" s="1" t="s">
        <v>22</v>
      </c>
      <c r="B22" s="1">
        <v>0.1</v>
      </c>
    </row>
    <row r="23" spans="1:2" x14ac:dyDescent="0.25">
      <c r="A23" s="1" t="s">
        <v>23</v>
      </c>
      <c r="B23" s="1">
        <v>0.1</v>
      </c>
    </row>
    <row r="24" spans="1:2" x14ac:dyDescent="0.25">
      <c r="A24" s="1" t="s">
        <v>24</v>
      </c>
      <c r="B24" s="1">
        <v>0.1</v>
      </c>
    </row>
    <row r="25" spans="1:2" x14ac:dyDescent="0.25">
      <c r="A25" s="1" t="s">
        <v>25</v>
      </c>
      <c r="B25" s="1">
        <v>0.1</v>
      </c>
    </row>
    <row r="26" spans="1:2" x14ac:dyDescent="0.25">
      <c r="A26" s="1" t="s">
        <v>26</v>
      </c>
      <c r="B26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9EDA1-23F0-4118-86E6-95FE0D50A6D7}">
  <dimension ref="A1:DG158"/>
  <sheetViews>
    <sheetView topLeftCell="AP1" workbookViewId="0">
      <selection activeCell="AX1" sqref="AX1:CB1048576"/>
    </sheetView>
    <sheetView workbookViewId="1"/>
  </sheetViews>
  <sheetFormatPr defaultRowHeight="12.75" x14ac:dyDescent="0.25"/>
  <cols>
    <col min="1" max="16" width="9.140625" style="1"/>
    <col min="17" max="17" width="17.5703125" style="1" customWidth="1"/>
    <col min="18" max="18" width="10.85546875" style="1" customWidth="1"/>
    <col min="81" max="81" width="9.140625" style="4"/>
    <col min="82" max="16384" width="9.140625" style="1"/>
  </cols>
  <sheetData>
    <row r="1" spans="1:111" ht="15" x14ac:dyDescent="0.25">
      <c r="CD1" s="1" t="s">
        <v>27</v>
      </c>
      <c r="CE1" s="1" t="s">
        <v>33</v>
      </c>
      <c r="CF1" s="1" t="s">
        <v>34</v>
      </c>
    </row>
    <row r="2" spans="1:111" ht="15" x14ac:dyDescent="0.25">
      <c r="CC2" s="4" t="s">
        <v>28</v>
      </c>
      <c r="CD2" s="2">
        <f ca="1">'2'!B2-Dashboard!$B$3*'2'!Q7</f>
        <v>0.13643825857474995</v>
      </c>
      <c r="CE2" s="2">
        <f ca="1">'2'!C2-Dashboard!$B$3*'2'!V7</f>
        <v>-3.4792609852380946E-2</v>
      </c>
      <c r="CF2" s="2">
        <f ca="1">'2'!D2-Dashboard!$B$3*'2'!AA7</f>
        <v>0.31312577979591616</v>
      </c>
    </row>
    <row r="3" spans="1:111" ht="15" x14ac:dyDescent="0.25">
      <c r="CC3" s="4" t="s">
        <v>29</v>
      </c>
      <c r="CD3" s="2">
        <f ca="1">'2'!B3-Dashboard!$B$3*'2'!R7</f>
        <v>0.2573615706449186</v>
      </c>
      <c r="CE3" s="2">
        <f ca="1">'2'!C3-Dashboard!$B$3*'2'!W7</f>
        <v>-8.7159770765376773E-2</v>
      </c>
      <c r="CF3" s="2">
        <f ca="1">'2'!D3-Dashboard!$B$3*'2'!AB7</f>
        <v>0.12979820012045837</v>
      </c>
    </row>
    <row r="4" spans="1:111" ht="15" x14ac:dyDescent="0.25">
      <c r="A4" s="1" t="s">
        <v>8</v>
      </c>
      <c r="B4" s="1">
        <f>MAX(B9:B158)</f>
        <v>7.9</v>
      </c>
      <c r="C4" s="1">
        <f>MAX(C9:C158)</f>
        <v>4.4000000000000004</v>
      </c>
      <c r="D4" s="1">
        <f>MAX(D9:D158)</f>
        <v>6.9</v>
      </c>
      <c r="E4" s="1">
        <f>MAX(E9:E158)</f>
        <v>2.5</v>
      </c>
      <c r="CC4" s="4" t="s">
        <v>30</v>
      </c>
      <c r="CD4" s="2">
        <f ca="1">'2'!B4-Dashboard!$B$3*'2'!S7</f>
        <v>-6.6892605519496634E-2</v>
      </c>
      <c r="CE4" s="2">
        <f ca="1">'2'!C4-Dashboard!$B$3*'2'!W7</f>
        <v>1.4492771607504618E-2</v>
      </c>
      <c r="CF4" s="2">
        <f ca="1">'2'!D4-Dashboard!$B$3*'2'!AC7</f>
        <v>0.3945694469433868</v>
      </c>
    </row>
    <row r="5" spans="1:111" ht="15" x14ac:dyDescent="0.25">
      <c r="A5" s="1" t="s">
        <v>9</v>
      </c>
      <c r="B5" s="1">
        <f>MIN(B9:B158)</f>
        <v>4.3</v>
      </c>
      <c r="C5" s="1">
        <f>MIN(C9:C158)</f>
        <v>2</v>
      </c>
      <c r="D5" s="1">
        <f>MIN(D9:D158)</f>
        <v>1</v>
      </c>
      <c r="E5" s="1">
        <f>MIN(E9:E158)</f>
        <v>0.1</v>
      </c>
      <c r="CC5" s="4" t="s">
        <v>31</v>
      </c>
      <c r="CD5" s="2">
        <f ca="1">'2'!B5-Dashboard!$B$3*'2'!T7</f>
        <v>-7.9861080475524038E-2</v>
      </c>
      <c r="CE5" s="2">
        <f ca="1">'2'!C5-Dashboard!$B$3*'2'!Y7</f>
        <v>-3.4995836569543665E-2</v>
      </c>
      <c r="CF5" s="2">
        <f ca="1">'2'!D5-Dashboard!$B$3*'2'!AD7</f>
        <v>0.41485691704506744</v>
      </c>
    </row>
    <row r="6" spans="1:111" ht="15" x14ac:dyDescent="0.25">
      <c r="CC6" s="4" t="s">
        <v>32</v>
      </c>
      <c r="CD6" s="2">
        <f ca="1">'2'!B6-Dashboard!$B$3*'2'!U7</f>
        <v>0.10000073525409291</v>
      </c>
      <c r="CE6" s="2">
        <f ca="1">'2'!C6-Dashboard!$B$3*'2'!Z7</f>
        <v>0.10009992233095207</v>
      </c>
      <c r="CF6" s="2">
        <f ca="1">'2'!D6-Dashboard!$B$3*'2'!AE7</f>
        <v>9.9899342414956752E-2</v>
      </c>
    </row>
    <row r="7" spans="1:111" ht="15" x14ac:dyDescent="0.25">
      <c r="CR7" s="1" t="s">
        <v>61</v>
      </c>
      <c r="CS7" s="2">
        <f ca="1">SUM(CS9:CS158)</f>
        <v>9.4142422135106418</v>
      </c>
      <c r="CT7" s="2">
        <f t="shared" ref="CT7:DG7" ca="1" si="0">SUM(CT9:CT158)</f>
        <v>0.58485229084116808</v>
      </c>
      <c r="CU7" s="2">
        <f t="shared" ca="1" si="0"/>
        <v>5.1918785159179839</v>
      </c>
      <c r="CV7" s="2">
        <f t="shared" ca="1" si="0"/>
        <v>5.0241753379079279</v>
      </c>
      <c r="CW7" s="2">
        <f t="shared" ca="1" si="0"/>
        <v>2.4652554234700752E-2</v>
      </c>
      <c r="CX7" s="2">
        <f t="shared" ca="1" si="0"/>
        <v>-5.1384066934150665</v>
      </c>
      <c r="CY7" s="2">
        <f t="shared" ca="1" si="0"/>
        <v>-2.7555882696743228</v>
      </c>
      <c r="CZ7" s="2">
        <f t="shared" ca="1" si="0"/>
        <v>-6.5949564676708921</v>
      </c>
      <c r="DA7" s="2">
        <f t="shared" ca="1" si="0"/>
        <v>-5.9605577364968001</v>
      </c>
      <c r="DB7" s="2">
        <f t="shared" ca="1" si="0"/>
        <v>-5.3385675923333042E-2</v>
      </c>
      <c r="DC7" s="2">
        <f t="shared" ca="1" si="0"/>
        <v>1.4477431628443795</v>
      </c>
      <c r="DD7" s="2">
        <f t="shared" ca="1" si="0"/>
        <v>2.1707359788331497</v>
      </c>
      <c r="DE7" s="2">
        <f t="shared" ca="1" si="0"/>
        <v>1.4030779517528977</v>
      </c>
      <c r="DF7" s="2">
        <f t="shared" ca="1" si="0"/>
        <v>0.93638239858887451</v>
      </c>
      <c r="DG7" s="2">
        <f t="shared" ca="1" si="0"/>
        <v>2.8733121688543695E-2</v>
      </c>
    </row>
    <row r="8" spans="1:111" ht="15" x14ac:dyDescent="0.25"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5</v>
      </c>
      <c r="N8" s="1" t="s">
        <v>6</v>
      </c>
      <c r="O8" s="1" t="s">
        <v>7</v>
      </c>
      <c r="CD8" s="1" t="s">
        <v>27</v>
      </c>
      <c r="CE8" s="1" t="s">
        <v>33</v>
      </c>
      <c r="CF8" s="1" t="s">
        <v>34</v>
      </c>
      <c r="CG8" s="1" t="s">
        <v>35</v>
      </c>
      <c r="CH8" s="1" t="s">
        <v>36</v>
      </c>
      <c r="CI8" s="1" t="s">
        <v>37</v>
      </c>
      <c r="CJ8" s="1" t="s">
        <v>38</v>
      </c>
      <c r="CK8" s="1" t="s">
        <v>39</v>
      </c>
      <c r="CL8" s="1" t="s">
        <v>40</v>
      </c>
      <c r="CM8" s="1" t="s">
        <v>41</v>
      </c>
      <c r="CN8" s="1" t="s">
        <v>42</v>
      </c>
      <c r="CO8" s="1" t="s">
        <v>43</v>
      </c>
      <c r="CP8" s="1" t="s">
        <v>44</v>
      </c>
      <c r="CQ8" s="1" t="s">
        <v>45</v>
      </c>
      <c r="CS8" s="1" t="s">
        <v>46</v>
      </c>
      <c r="CT8" s="1" t="s">
        <v>47</v>
      </c>
      <c r="CU8" s="1" t="s">
        <v>48</v>
      </c>
      <c r="CV8" s="1" t="s">
        <v>49</v>
      </c>
      <c r="CW8" s="1" t="s">
        <v>50</v>
      </c>
      <c r="CX8" s="1" t="s">
        <v>51</v>
      </c>
      <c r="CY8" s="1" t="s">
        <v>52</v>
      </c>
      <c r="CZ8" s="1" t="s">
        <v>53</v>
      </c>
      <c r="DA8" s="1" t="s">
        <v>54</v>
      </c>
      <c r="DB8" s="1" t="s">
        <v>55</v>
      </c>
      <c r="DC8" s="1" t="s">
        <v>56</v>
      </c>
      <c r="DD8" s="1" t="s">
        <v>57</v>
      </c>
      <c r="DE8" s="1" t="s">
        <v>58</v>
      </c>
      <c r="DF8" s="1" t="s">
        <v>59</v>
      </c>
      <c r="DG8" s="1" t="s">
        <v>60</v>
      </c>
    </row>
    <row r="9" spans="1:111" ht="15" x14ac:dyDescent="0.25">
      <c r="B9" s="1">
        <v>5.0999999999999996</v>
      </c>
      <c r="C9" s="1">
        <v>3.5</v>
      </c>
      <c r="D9" s="1">
        <v>1.4</v>
      </c>
      <c r="E9" s="1">
        <v>0.2</v>
      </c>
      <c r="F9" s="1" t="s">
        <v>5</v>
      </c>
      <c r="I9" s="2">
        <f>(B9-B$5)/(B$4-B$5)</f>
        <v>0.22222222222222213</v>
      </c>
      <c r="J9" s="2">
        <f>(C9-C$5)/(C$4-C$5)</f>
        <v>0.62499999999999989</v>
      </c>
      <c r="K9" s="2">
        <f>(D9-D$5)/(D$4-D$5)</f>
        <v>6.7796610169491511E-2</v>
      </c>
      <c r="L9" s="2">
        <f>(E9-E$5)/(E$4-E$5)</f>
        <v>4.1666666666666671E-2</v>
      </c>
      <c r="M9" s="3">
        <f>IF($F9=M$8,1,0)</f>
        <v>1</v>
      </c>
      <c r="N9" s="3">
        <f>IF($F9=N$8,1,0)</f>
        <v>0</v>
      </c>
      <c r="O9" s="3">
        <f>IF($F9=O$8,1,0)</f>
        <v>0</v>
      </c>
      <c r="CD9" s="2">
        <f ca="1">CD$2*$I9+CD$3*$J9+CD$4*$K9+CD$5*$L9+CD$6</f>
        <v>0.2833086930043377</v>
      </c>
      <c r="CE9" s="2">
        <f ca="1">CE$2*$I9+CE$3*$J9+CE$4*$K9+CE$5*$L9+CE$6</f>
        <v>3.7417775454169869E-2</v>
      </c>
      <c r="CF9" s="2">
        <f ca="1">CF$2*$I9+CF$3*$J9+CF$4*$K9+CF$5*$L9+CF$6</f>
        <v>0.29464289996764836</v>
      </c>
      <c r="CG9" s="2">
        <f ca="1">EXP(CD9)</f>
        <v>1.3275148931339724</v>
      </c>
      <c r="CH9" s="2">
        <f t="shared" ref="CH9:CH72" ca="1" si="1">EXP(CE9)</f>
        <v>1.0381266340814046</v>
      </c>
      <c r="CI9" s="2">
        <f t="shared" ref="CI9:CI72" ca="1" si="2">EXP(CF9)</f>
        <v>1.3426468138479721</v>
      </c>
      <c r="CJ9" s="2">
        <f ca="1">SUM(CG9:CI9)</f>
        <v>3.7082883410633496</v>
      </c>
      <c r="CK9" s="2">
        <f ca="1">CG9/CJ9</f>
        <v>0.35798588756809246</v>
      </c>
      <c r="CL9" s="2">
        <f ca="1">CH9/CJ9</f>
        <v>0.27994765740997429</v>
      </c>
      <c r="CM9" s="2">
        <f ca="1">CI9/CJ9</f>
        <v>0.36206645502193308</v>
      </c>
      <c r="CN9" s="2">
        <f ca="1">-$M9*LOG(CK9)</f>
        <v>0.44613409366927953</v>
      </c>
      <c r="CO9" s="2">
        <f ca="1">-$N9*LOG(CL9)</f>
        <v>0</v>
      </c>
      <c r="CP9" s="2">
        <f ca="1">-$O9*LOG(CM9)</f>
        <v>0</v>
      </c>
      <c r="CQ9" s="2">
        <f t="shared" ref="CQ9:CQ40" ca="1" si="3">SUM(CN9:CP9)</f>
        <v>0.44613409366927953</v>
      </c>
      <c r="CR9" s="2"/>
      <c r="CS9" s="2">
        <f ca="1">(CK9-$M9)*$I9</f>
        <v>-0.14266980276264607</v>
      </c>
      <c r="CT9" s="2">
        <f ca="1">(CK9-$M9)*$J9</f>
        <v>-0.40125882026994214</v>
      </c>
      <c r="CU9" s="2">
        <f ca="1">(CK9-$M9)*$K9</f>
        <v>-4.3526380503858132E-2</v>
      </c>
      <c r="CV9" s="2">
        <f ca="1">(CK9-$M9)*$L9</f>
        <v>-2.6750588017996152E-2</v>
      </c>
      <c r="CW9" s="2">
        <f ca="1">(CK9-$M9)</f>
        <v>-0.64201411243190754</v>
      </c>
      <c r="CX9" s="2">
        <f ca="1">(CL9-$N9)*$I9</f>
        <v>6.2210590535549816E-2</v>
      </c>
      <c r="CY9" s="2">
        <f ca="1">(CL9-$N9)*$J9</f>
        <v>0.17496728588123389</v>
      </c>
      <c r="CZ9" s="2">
        <f ca="1">(CL9-$N9)*$K9</f>
        <v>1.8979502197286387E-2</v>
      </c>
      <c r="DA9" s="2">
        <f ca="1">(CL9-$N9)*$L9</f>
        <v>1.1664485725415596E-2</v>
      </c>
      <c r="DB9" s="2">
        <f ca="1">(CL9-$N9)</f>
        <v>0.27994765740997429</v>
      </c>
      <c r="DC9" s="2">
        <f ca="1">(CM9-$O9)*$I9</f>
        <v>8.0459212227096205E-2</v>
      </c>
      <c r="DD9" s="2">
        <f ca="1">(CM9-$O9)*$J9</f>
        <v>0.22629153438870814</v>
      </c>
      <c r="DE9" s="2">
        <f ca="1">(CM9-$O9)*$K9</f>
        <v>2.4546878306571727E-2</v>
      </c>
      <c r="DF9" s="2">
        <f ca="1">(CM9-$O9)*$L9</f>
        <v>1.5086102292580547E-2</v>
      </c>
      <c r="DG9" s="2">
        <f ca="1">(CM9-$O9)</f>
        <v>0.36206645502193308</v>
      </c>
    </row>
    <row r="10" spans="1:111" ht="15" x14ac:dyDescent="0.25">
      <c r="B10" s="1">
        <v>4.9000000000000004</v>
      </c>
      <c r="C10" s="1">
        <v>3</v>
      </c>
      <c r="D10" s="1">
        <v>1.4</v>
      </c>
      <c r="E10" s="1">
        <v>0.2</v>
      </c>
      <c r="F10" s="1" t="s">
        <v>5</v>
      </c>
      <c r="I10" s="2">
        <f>(B10-B$5)/(B$4-B$5)</f>
        <v>0.1666666666666668</v>
      </c>
      <c r="J10" s="2">
        <f>(C10-C$5)/(C$4-C$5)</f>
        <v>0.41666666666666663</v>
      </c>
      <c r="K10" s="2">
        <f>(D10-D$5)/(D$4-D$5)</f>
        <v>6.7796610169491511E-2</v>
      </c>
      <c r="L10" s="2">
        <f>(E10-E$5)/(E$4-E$5)</f>
        <v>4.1666666666666671E-2</v>
      </c>
      <c r="M10" s="3">
        <f>IF($F10=M$8,1,0)</f>
        <v>1</v>
      </c>
      <c r="N10" s="3">
        <f>IF($F10=N$8,1,0)</f>
        <v>0</v>
      </c>
      <c r="O10" s="3">
        <f>IF($F10=O$8,1,0)</f>
        <v>0</v>
      </c>
      <c r="CD10" s="2">
        <f ca="1">CD$2*$I10+CD$3*$J10+CD$4*$K10+CD$5*$L10+CD$6</f>
        <v>0.22211179586582697</v>
      </c>
      <c r="CE10" s="2">
        <f ca="1">CE$2*$I10+CE$3*$J10+CE$4*$K10+CE$5*$L10+CE$6</f>
        <v>5.7508983799866728E-2</v>
      </c>
      <c r="CF10" s="2">
        <f ca="1">CF$2*$I10+CF$3*$J10+CF$4*$K10+CF$5*$L10+CF$6</f>
        <v>0.25020573162055759</v>
      </c>
      <c r="CG10" s="2">
        <f t="shared" ref="CG10:CG73" ca="1" si="4">EXP(CD10)</f>
        <v>1.248710970785329</v>
      </c>
      <c r="CH10" s="2">
        <f t="shared" ca="1" si="1"/>
        <v>1.0591947862059685</v>
      </c>
      <c r="CI10" s="2">
        <f t="shared" ca="1" si="2"/>
        <v>1.2842896084929261</v>
      </c>
      <c r="CJ10" s="2">
        <f t="shared" ref="CJ10:CJ73" ca="1" si="5">SUM(CG10:CI10)</f>
        <v>3.5921953654842236</v>
      </c>
      <c r="CK10" s="2">
        <f ca="1">CG10/'1'!$H10</f>
        <v>0.35141755266101071</v>
      </c>
      <c r="CL10" s="2">
        <f t="shared" ref="CL10:CL73" ca="1" si="6">CH10/CJ10</f>
        <v>0.29486001690868235</v>
      </c>
      <c r="CM10" s="2">
        <f t="shared" ref="CM10:CM73" ca="1" si="7">CI10/CJ10</f>
        <v>0.35752220517655653</v>
      </c>
      <c r="CN10" s="2">
        <f ca="1">-$M10*LOG(CK10)</f>
        <v>0.45417655008762625</v>
      </c>
      <c r="CO10" s="2">
        <f ca="1">-$N10*LOG(CL10)</f>
        <v>0</v>
      </c>
      <c r="CP10" s="2">
        <f ca="1">-$O10*LOG(CM10)</f>
        <v>0</v>
      </c>
      <c r="CQ10" s="2">
        <f t="shared" ca="1" si="3"/>
        <v>0.45417655008762625</v>
      </c>
      <c r="CR10" s="2"/>
      <c r="CS10" s="2">
        <f ca="1">(CK10-'2'!Z10)*'2'!V10</f>
        <v>3.3489295051254464E-4</v>
      </c>
      <c r="CT10" s="2">
        <f>('1'!$I10-$M10)*'2'!W10</f>
        <v>-3.0864197530864196E-2</v>
      </c>
      <c r="CU10" s="2">
        <f>('1'!$I10-$M10)*'2'!X10</f>
        <v>-5.0219711236660376E-3</v>
      </c>
      <c r="CV10" s="2">
        <f>('1'!$I10-$M10)*'2'!Y10</f>
        <v>-3.08641975308642E-3</v>
      </c>
      <c r="CW10" s="2">
        <f>('1'!$I10-$M10)</f>
        <v>-0.66666666666666674</v>
      </c>
      <c r="CX10" s="2">
        <f>('1'!$J10-$N10)*'2'!V10</f>
        <v>6.1728395061728435E-3</v>
      </c>
      <c r="CY10" s="2">
        <f>('1'!$J10-$N10)*'2'!W10</f>
        <v>1.5432098765432094E-2</v>
      </c>
      <c r="CZ10" s="2">
        <f>('1'!$J10-$N10)*'2'!X10</f>
        <v>2.5109855618330183E-3</v>
      </c>
      <c r="DA10" s="2">
        <f>('1'!$J10-$N10)*'2'!Y10</f>
        <v>1.5432098765432098E-3</v>
      </c>
      <c r="DB10" s="2">
        <f>('1'!$J10-$N10)</f>
        <v>0.33333333333333331</v>
      </c>
      <c r="DC10" s="2">
        <f>('1'!$K10-$O10)*'2'!V10</f>
        <v>6.1728395061728435E-3</v>
      </c>
      <c r="DD10" s="2">
        <f>('1'!$K10-$O10)*'2'!W10</f>
        <v>1.5432098765432094E-2</v>
      </c>
      <c r="DE10" s="2">
        <f>('1'!$K10-$O10)*'2'!X10</f>
        <v>2.5109855618330183E-3</v>
      </c>
      <c r="DF10" s="2">
        <f>('1'!$K10-$O10)*'2'!Y10</f>
        <v>1.5432098765432098E-3</v>
      </c>
      <c r="DG10" s="2">
        <f>('1'!$K10-$O10)</f>
        <v>0.33333333333333331</v>
      </c>
    </row>
    <row r="11" spans="1:111" ht="15" x14ac:dyDescent="0.25">
      <c r="B11" s="1">
        <v>4.7</v>
      </c>
      <c r="C11" s="1">
        <v>3.2</v>
      </c>
      <c r="D11" s="1">
        <v>1.3</v>
      </c>
      <c r="E11" s="1">
        <v>0.2</v>
      </c>
      <c r="F11" s="1" t="s">
        <v>5</v>
      </c>
      <c r="I11" s="2">
        <f>(B11-B$5)/(B$4-B$5)</f>
        <v>0.11111111111111119</v>
      </c>
      <c r="J11" s="2">
        <f>(C11-C$5)/(C$4-C$5)</f>
        <v>0.5</v>
      </c>
      <c r="K11" s="2">
        <f>(D11-D$5)/(D$4-D$5)</f>
        <v>5.0847457627118647E-2</v>
      </c>
      <c r="L11" s="2">
        <f>(E11-E$5)/(E$4-E$5)</f>
        <v>4.1666666666666671E-2</v>
      </c>
      <c r="M11" s="3">
        <f>IF($F11=M$8,1,0)</f>
        <v>1</v>
      </c>
      <c r="N11" s="3">
        <f>IF($F11=N$8,1,0)</f>
        <v>0</v>
      </c>
      <c r="O11" s="3">
        <f>IF($F11=O$8,1,0)</f>
        <v>0</v>
      </c>
      <c r="CD11" s="2">
        <f ca="1">CD$2*$I11+CD$3*$J11+CD$4*$K11+CD$5*$L11+CD$6</f>
        <v>0.23711246314032408</v>
      </c>
      <c r="CE11" s="2">
        <f ca="1">CE$2*$I11+CE$3*$J11+CE$4*$K11+CE$5*$L11+CE$6</f>
        <v>5.1932952142258008E-2</v>
      </c>
      <c r="CF11" s="2">
        <f ca="1">CF$2*$I11+CF$3*$J11+CF$4*$K11+CF$5*$L11+CF$6</f>
        <v>0.23693875389713065</v>
      </c>
      <c r="CG11" s="2">
        <f t="shared" ca="1" si="4"/>
        <v>1.267583666199136</v>
      </c>
      <c r="CH11" s="2">
        <f t="shared" ca="1" si="1"/>
        <v>1.0533051182940596</v>
      </c>
      <c r="CI11" s="2">
        <f t="shared" ca="1" si="2"/>
        <v>1.2673634943232948</v>
      </c>
      <c r="CJ11" s="2">
        <f t="shared" ca="1" si="5"/>
        <v>3.5882522788164906</v>
      </c>
      <c r="CK11" s="2">
        <f ca="1">CG11/'1'!$H11</f>
        <v>0.35634270771609278</v>
      </c>
      <c r="CL11" s="2">
        <f t="shared" ca="1" si="6"/>
        <v>0.2935426598938774</v>
      </c>
      <c r="CM11" s="2">
        <f t="shared" ca="1" si="7"/>
        <v>0.35319799051066386</v>
      </c>
      <c r="CN11" s="2">
        <f ca="1">-$M11*LOG(CK11)</f>
        <v>0.44813212428407895</v>
      </c>
      <c r="CO11" s="2">
        <f ca="1">-$N11*LOG(CL11)</f>
        <v>0</v>
      </c>
      <c r="CP11" s="2">
        <f ca="1">-$O11*LOG(CM11)</f>
        <v>0</v>
      </c>
      <c r="CQ11" s="2">
        <f t="shared" ca="1" si="3"/>
        <v>0.44813212428407895</v>
      </c>
      <c r="CR11" s="2"/>
      <c r="CS11" s="2">
        <f ca="1">(CK11-'2'!Z11)*'2'!V11</f>
        <v>2.8406635040443797E-4</v>
      </c>
      <c r="CT11" s="2">
        <f>('1'!$I11-$M11)*'2'!W11</f>
        <v>-3.7037037037037042E-2</v>
      </c>
      <c r="CU11" s="2">
        <f>('1'!$I11-$M11)*'2'!X11</f>
        <v>-3.7664783427495295E-3</v>
      </c>
      <c r="CV11" s="2">
        <f>('1'!$I11-$M11)*'2'!Y11</f>
        <v>-3.08641975308642E-3</v>
      </c>
      <c r="CW11" s="2">
        <f>('1'!$I11-$M11)</f>
        <v>-0.66666666666666674</v>
      </c>
      <c r="CX11" s="2">
        <f>('1'!$J11-$N11)*'2'!V11</f>
        <v>4.1152263374485618E-3</v>
      </c>
      <c r="CY11" s="2">
        <f>('1'!$J11-$N11)*'2'!W11</f>
        <v>1.8518518518518517E-2</v>
      </c>
      <c r="CZ11" s="2">
        <f>('1'!$J11-$N11)*'2'!X11</f>
        <v>1.8832391713747645E-3</v>
      </c>
      <c r="DA11" s="2">
        <f>('1'!$J11-$N11)*'2'!Y11</f>
        <v>1.5432098765432098E-3</v>
      </c>
      <c r="DB11" s="2">
        <f>('1'!$J11-$N11)</f>
        <v>0.33333333333333331</v>
      </c>
      <c r="DC11" s="2">
        <f>('1'!$K11-$O11)*'2'!V11</f>
        <v>4.1152263374485618E-3</v>
      </c>
      <c r="DD11" s="2">
        <f>('1'!$K11-$O11)*'2'!W11</f>
        <v>1.8518518518518517E-2</v>
      </c>
      <c r="DE11" s="2">
        <f>('1'!$K11-$O11)*'2'!X11</f>
        <v>1.8832391713747645E-3</v>
      </c>
      <c r="DF11" s="2">
        <f>('1'!$K11-$O11)*'2'!Y11</f>
        <v>1.5432098765432098E-3</v>
      </c>
      <c r="DG11" s="2">
        <f>('1'!$K11-$O11)</f>
        <v>0.33333333333333331</v>
      </c>
    </row>
    <row r="12" spans="1:111" ht="15" x14ac:dyDescent="0.25">
      <c r="B12" s="1">
        <v>4.5999999999999996</v>
      </c>
      <c r="C12" s="1">
        <v>3.1</v>
      </c>
      <c r="D12" s="1">
        <v>1.5</v>
      </c>
      <c r="E12" s="1">
        <v>0.2</v>
      </c>
      <c r="F12" s="1" t="s">
        <v>5</v>
      </c>
      <c r="I12" s="2">
        <f>(B12-B$5)/(B$4-B$5)</f>
        <v>8.3333333333333273E-2</v>
      </c>
      <c r="J12" s="2">
        <f>(C12-C$5)/(C$4-C$5)</f>
        <v>0.45833333333333331</v>
      </c>
      <c r="K12" s="2">
        <f>(D12-D$5)/(D$4-D$5)</f>
        <v>8.4745762711864403E-2</v>
      </c>
      <c r="L12" s="2">
        <f>(E12-E$5)/(E$4-E$5)</f>
        <v>4.1666666666666671E-2</v>
      </c>
      <c r="M12" s="3">
        <f>IF($F12=M$8,1,0)</f>
        <v>1</v>
      </c>
      <c r="N12" s="3">
        <f>IF($F12=N$8,1,0)</f>
        <v>0</v>
      </c>
      <c r="O12" s="3">
        <f>IF($F12=O$8,1,0)</f>
        <v>0</v>
      </c>
      <c r="CD12" s="2">
        <f ca="1">CD$2*$I12+CD$3*$J12+CD$4*$K12+CD$5*$L12+CD$6</f>
        <v>0.22033156678656263</v>
      </c>
      <c r="CE12" s="2">
        <f ca="1">CE$2*$I12+CE$3*$J12+CE$4*$K12+CE$5*$L12+CE$6</f>
        <v>5.7022351035745149E-2</v>
      </c>
      <c r="CF12" s="2">
        <f ca="1">CF$2*$I12+CF$3*$J12+CF$4*$K12+CF$5*$L12+CF$6</f>
        <v>0.23620779272072012</v>
      </c>
      <c r="CG12" s="2">
        <f t="shared" ca="1" si="4"/>
        <v>1.2464899567470014</v>
      </c>
      <c r="CH12" s="2">
        <f t="shared" ca="1" si="1"/>
        <v>1.0586794727137978</v>
      </c>
      <c r="CI12" s="2">
        <f t="shared" ca="1" si="2"/>
        <v>1.2664374393089088</v>
      </c>
      <c r="CJ12" s="2">
        <f t="shared" ca="1" si="5"/>
        <v>3.5716068687697078</v>
      </c>
      <c r="CK12" s="2">
        <f ca="1">CG12/'1'!$H12</f>
        <v>0.35166064979080164</v>
      </c>
      <c r="CL12" s="2">
        <f t="shared" ca="1" si="6"/>
        <v>0.29641545433539707</v>
      </c>
      <c r="CM12" s="2">
        <f t="shared" ca="1" si="7"/>
        <v>0.35458478097987078</v>
      </c>
      <c r="CN12" s="2">
        <f ca="1">-$M12*LOG(CK12)</f>
        <v>0.45387622575421993</v>
      </c>
      <c r="CO12" s="2">
        <f ca="1">-$N12*LOG(CL12)</f>
        <v>0</v>
      </c>
      <c r="CP12" s="2">
        <f ca="1">-$O12*LOG(CM12)</f>
        <v>0</v>
      </c>
      <c r="CQ12" s="2">
        <f t="shared" ca="1" si="3"/>
        <v>0.45387622575421993</v>
      </c>
      <c r="CR12" s="2"/>
      <c r="CS12" s="2">
        <f ca="1">(CK12-'2'!Z12)*'2'!V12</f>
        <v>1.6969737460618804E-4</v>
      </c>
      <c r="CT12" s="2">
        <f>('1'!$I12-$M12)*'2'!W12</f>
        <v>-3.3950617283950615E-2</v>
      </c>
      <c r="CU12" s="2">
        <f>('1'!$I12-$M12)*'2'!X12</f>
        <v>-6.2774639045825474E-3</v>
      </c>
      <c r="CV12" s="2">
        <f>('1'!$I12-$M12)*'2'!Y12</f>
        <v>-3.08641975308642E-3</v>
      </c>
      <c r="CW12" s="2">
        <f>('1'!$I12-$M12)</f>
        <v>-0.66666666666666674</v>
      </c>
      <c r="CX12" s="2">
        <f>('1'!$J12-$N12)*'2'!V12</f>
        <v>3.086419753086417E-3</v>
      </c>
      <c r="CY12" s="2">
        <f>('1'!$J12-$N12)*'2'!W12</f>
        <v>1.6975308641975304E-2</v>
      </c>
      <c r="CZ12" s="2">
        <f>('1'!$J12-$N12)*'2'!X12</f>
        <v>3.1387319522912733E-3</v>
      </c>
      <c r="DA12" s="2">
        <f>('1'!$J12-$N12)*'2'!Y12</f>
        <v>1.5432098765432098E-3</v>
      </c>
      <c r="DB12" s="2">
        <f>('1'!$J12-$N12)</f>
        <v>0.33333333333333331</v>
      </c>
      <c r="DC12" s="2">
        <f>('1'!$K12-$O12)*'2'!V12</f>
        <v>3.086419753086417E-3</v>
      </c>
      <c r="DD12" s="2">
        <f>('1'!$K12-$O12)*'2'!W12</f>
        <v>1.6975308641975304E-2</v>
      </c>
      <c r="DE12" s="2">
        <f>('1'!$K12-$O12)*'2'!X12</f>
        <v>3.1387319522912733E-3</v>
      </c>
      <c r="DF12" s="2">
        <f>('1'!$K12-$O12)*'2'!Y12</f>
        <v>1.5432098765432098E-3</v>
      </c>
      <c r="DG12" s="2">
        <f>('1'!$K12-$O12)</f>
        <v>0.33333333333333331</v>
      </c>
    </row>
    <row r="13" spans="1:111" ht="15" x14ac:dyDescent="0.25">
      <c r="B13" s="1">
        <v>5</v>
      </c>
      <c r="C13" s="1">
        <v>3.6</v>
      </c>
      <c r="D13" s="1">
        <v>1.4</v>
      </c>
      <c r="E13" s="1">
        <v>0.2</v>
      </c>
      <c r="F13" s="1" t="s">
        <v>5</v>
      </c>
      <c r="I13" s="2">
        <f>(B13-B$5)/(B$4-B$5)</f>
        <v>0.19444444444444448</v>
      </c>
      <c r="J13" s="2">
        <f>(C13-C$5)/(C$4-C$5)</f>
        <v>0.66666666666666663</v>
      </c>
      <c r="K13" s="2">
        <f>(D13-D$5)/(D$4-D$5)</f>
        <v>6.7796610169491511E-2</v>
      </c>
      <c r="L13" s="2">
        <f>(E13-E$5)/(E$4-E$5)</f>
        <v>4.1666666666666671E-2</v>
      </c>
      <c r="M13" s="3">
        <f>IF($F13=M$8,1,0)</f>
        <v>1</v>
      </c>
      <c r="N13" s="3">
        <f>IF($F13=N$8,1,0)</f>
        <v>0</v>
      </c>
      <c r="O13" s="3">
        <f>IF($F13=O$8,1,0)</f>
        <v>0</v>
      </c>
      <c r="CD13" s="2">
        <f ca="1">CD$2*$I13+CD$3*$J13+CD$4*$K13+CD$5*$L13+CD$6</f>
        <v>0.29024214015413297</v>
      </c>
      <c r="CE13" s="2">
        <f ca="1">CE$2*$I13+CE$3*$J13+CE$4*$K13+CE$5*$L13+CE$6</f>
        <v>3.4752579723734175E-2</v>
      </c>
      <c r="CF13" s="2">
        <f ca="1">CF$2*$I13+CF$3*$J13+CF$4*$K13+CF$5*$L13+CF$6</f>
        <v>0.29135321997833652</v>
      </c>
      <c r="CG13" s="2">
        <f t="shared" ca="1" si="4"/>
        <v>1.3367511299651833</v>
      </c>
      <c r="CH13" s="2">
        <f t="shared" ca="1" si="1"/>
        <v>1.0353635071812104</v>
      </c>
      <c r="CI13" s="2">
        <f t="shared" ca="1" si="2"/>
        <v>1.3382371925898904</v>
      </c>
      <c r="CJ13" s="2">
        <f t="shared" ca="1" si="5"/>
        <v>3.7103518297362843</v>
      </c>
      <c r="CK13" s="2">
        <f ca="1">CG13/'1'!$H13</f>
        <v>0.36588815222112148</v>
      </c>
      <c r="CL13" s="2">
        <f t="shared" ca="1" si="6"/>
        <v>0.27904725877567238</v>
      </c>
      <c r="CM13" s="2">
        <f t="shared" ca="1" si="7"/>
        <v>0.36067662960280683</v>
      </c>
      <c r="CN13" s="2">
        <f ca="1">-$M13*LOG(CK13)</f>
        <v>0.43665165312146997</v>
      </c>
      <c r="CO13" s="2">
        <f ca="1">-$N13*LOG(CL13)</f>
        <v>0</v>
      </c>
      <c r="CP13" s="2">
        <f ca="1">-$O13*LOG(CM13)</f>
        <v>0</v>
      </c>
      <c r="CQ13" s="2">
        <f t="shared" ca="1" si="3"/>
        <v>0.43665165312146997</v>
      </c>
      <c r="CR13" s="2"/>
      <c r="CS13" s="2">
        <f ca="1">(CK13-'2'!Z13)*'2'!V13</f>
        <v>7.033448525139409E-4</v>
      </c>
      <c r="CT13" s="2">
        <f>('1'!$I13-$M13)*'2'!W13</f>
        <v>-4.938271604938272E-2</v>
      </c>
      <c r="CU13" s="2">
        <f>('1'!$I13-$M13)*'2'!X13</f>
        <v>-5.0219711236660384E-3</v>
      </c>
      <c r="CV13" s="2">
        <f>('1'!$I13-$M13)*'2'!Y13</f>
        <v>-3.0864197530864204E-3</v>
      </c>
      <c r="CW13" s="2">
        <f>('1'!$I13-$M13)</f>
        <v>-0.66666666666666663</v>
      </c>
      <c r="CX13" s="2">
        <f>('1'!$J13-$N13)*'2'!V13</f>
        <v>7.2016460905349831E-3</v>
      </c>
      <c r="CY13" s="2">
        <f>('1'!$J13-$N13)*'2'!W13</f>
        <v>2.4691358024691364E-2</v>
      </c>
      <c r="CZ13" s="2">
        <f>('1'!$J13-$N13)*'2'!X13</f>
        <v>2.5109855618330196E-3</v>
      </c>
      <c r="DA13" s="2">
        <f>('1'!$J13-$N13)*'2'!Y13</f>
        <v>1.5432098765432104E-3</v>
      </c>
      <c r="DB13" s="2">
        <f>('1'!$J13-$N13)</f>
        <v>0.33333333333333337</v>
      </c>
      <c r="DC13" s="2">
        <f>('1'!$K13-$O13)*'2'!V13</f>
        <v>7.2016460905349831E-3</v>
      </c>
      <c r="DD13" s="2">
        <f>('1'!$K13-$O13)*'2'!W13</f>
        <v>2.4691358024691364E-2</v>
      </c>
      <c r="DE13" s="2">
        <f>('1'!$K13-$O13)*'2'!X13</f>
        <v>2.5109855618330196E-3</v>
      </c>
      <c r="DF13" s="2">
        <f>('1'!$K13-$O13)*'2'!Y13</f>
        <v>1.5432098765432104E-3</v>
      </c>
      <c r="DG13" s="2">
        <f>('1'!$K13-$O13)</f>
        <v>0.33333333333333337</v>
      </c>
    </row>
    <row r="14" spans="1:111" ht="15" x14ac:dyDescent="0.25">
      <c r="B14" s="1">
        <v>5.4</v>
      </c>
      <c r="C14" s="1">
        <v>3.9</v>
      </c>
      <c r="D14" s="1">
        <v>1.7</v>
      </c>
      <c r="E14" s="1">
        <v>0.4</v>
      </c>
      <c r="F14" s="1" t="s">
        <v>5</v>
      </c>
      <c r="I14" s="2">
        <f>(B14-B$5)/(B$4-B$5)</f>
        <v>0.30555555555555564</v>
      </c>
      <c r="J14" s="2">
        <f>(C14-C$5)/(C$4-C$5)</f>
        <v>0.79166666666666652</v>
      </c>
      <c r="K14" s="2">
        <f>(D14-D$5)/(D$4-D$5)</f>
        <v>0.11864406779661016</v>
      </c>
      <c r="L14" s="2">
        <f>(E14-E$5)/(E$4-E$5)</f>
        <v>0.12500000000000003</v>
      </c>
      <c r="M14" s="3">
        <f>IF($F14=M$8,1,0)</f>
        <v>1</v>
      </c>
      <c r="N14" s="3">
        <f>IF($F14=N$8,1,0)</f>
        <v>0</v>
      </c>
      <c r="O14" s="3">
        <f>IF($F14=O$8,1,0)</f>
        <v>0</v>
      </c>
      <c r="CD14" s="2">
        <f ca="1">CD$2*$I14+CD$3*$J14+CD$4*$K14+CD$5*$L14+CD$6</f>
        <v>0.32751573402870615</v>
      </c>
      <c r="CE14" s="2">
        <f ca="1">CE$2*$I14+CE$3*$J14+CE$4*$K14+CE$5*$L14+CE$6</f>
        <v>1.7812363714992119E-2</v>
      </c>
      <c r="CF14" s="2">
        <f ca="1">CF$2*$I14+CF$3*$J14+CF$4*$K14+CF$5*$L14+CF$6</f>
        <v>0.39700401129221624</v>
      </c>
      <c r="CG14" s="2">
        <f t="shared" ca="1" si="4"/>
        <v>1.3875168823566839</v>
      </c>
      <c r="CH14" s="2">
        <f t="shared" ca="1" si="1"/>
        <v>1.0179719499936735</v>
      </c>
      <c r="CI14" s="2">
        <f t="shared" ca="1" si="2"/>
        <v>1.4873618962825377</v>
      </c>
      <c r="CJ14" s="2">
        <f t="shared" ca="1" si="5"/>
        <v>3.8928507286328955</v>
      </c>
      <c r="CK14" s="2">
        <f ca="1">CG14/'1'!$H14</f>
        <v>0.36597758755610543</v>
      </c>
      <c r="CL14" s="2">
        <f t="shared" ca="1" si="6"/>
        <v>0.26149781251724702</v>
      </c>
      <c r="CM14" s="2">
        <f t="shared" ca="1" si="7"/>
        <v>0.38207524510061924</v>
      </c>
      <c r="CN14" s="2">
        <f ca="1">-$M14*LOG(CK14)</f>
        <v>0.43654550995735392</v>
      </c>
      <c r="CO14" s="2">
        <f ca="1">-$N14*LOG(CL14)</f>
        <v>0</v>
      </c>
      <c r="CP14" s="2">
        <f ca="1">-$O14*LOG(CM14)</f>
        <v>0</v>
      </c>
      <c r="CQ14" s="2">
        <f t="shared" ca="1" si="3"/>
        <v>0.43654550995735392</v>
      </c>
      <c r="CR14" s="2"/>
      <c r="CS14" s="2">
        <f ca="1">(CK14-'2'!Z14)*'2'!V14</f>
        <v>1.1082925816373252E-3</v>
      </c>
      <c r="CT14" s="2">
        <f>('1'!$I14-$M14)*'2'!W14</f>
        <v>-5.8641975308641965E-2</v>
      </c>
      <c r="CU14" s="2">
        <f>('1'!$I14-$M14)*'2'!X14</f>
        <v>-8.7884494664155679E-3</v>
      </c>
      <c r="CV14" s="2">
        <f>('1'!$I14-$M14)*'2'!Y14</f>
        <v>-9.2592592592592605E-3</v>
      </c>
      <c r="CW14" s="2">
        <f>('1'!$I14-$M14)</f>
        <v>-0.66666666666666674</v>
      </c>
      <c r="CX14" s="2">
        <f>('1'!$J14-$N14)*'2'!V14</f>
        <v>1.131687242798354E-2</v>
      </c>
      <c r="CY14" s="2">
        <f>('1'!$J14-$N14)*'2'!W14</f>
        <v>2.9320987654320979E-2</v>
      </c>
      <c r="CZ14" s="2">
        <f>('1'!$J14-$N14)*'2'!X14</f>
        <v>4.3942247332077831E-3</v>
      </c>
      <c r="DA14" s="2">
        <f>('1'!$J14-$N14)*'2'!Y14</f>
        <v>4.6296296296296294E-3</v>
      </c>
      <c r="DB14" s="2">
        <f>('1'!$J14-$N14)</f>
        <v>0.33333333333333331</v>
      </c>
      <c r="DC14" s="2">
        <f>('1'!$K14-$O14)*'2'!V14</f>
        <v>1.131687242798354E-2</v>
      </c>
      <c r="DD14" s="2">
        <f>('1'!$K14-$O14)*'2'!W14</f>
        <v>2.9320987654320979E-2</v>
      </c>
      <c r="DE14" s="2">
        <f>('1'!$K14-$O14)*'2'!X14</f>
        <v>4.3942247332077831E-3</v>
      </c>
      <c r="DF14" s="2">
        <f>('1'!$K14-$O14)*'2'!Y14</f>
        <v>4.6296296296296294E-3</v>
      </c>
      <c r="DG14" s="2">
        <f>('1'!$K14-$O14)</f>
        <v>0.33333333333333331</v>
      </c>
    </row>
    <row r="15" spans="1:111" ht="15" x14ac:dyDescent="0.25">
      <c r="B15" s="1">
        <v>4.5999999999999996</v>
      </c>
      <c r="C15" s="1">
        <v>3.4</v>
      </c>
      <c r="D15" s="1">
        <v>1.4</v>
      </c>
      <c r="E15" s="1">
        <v>0.3</v>
      </c>
      <c r="F15" s="1" t="s">
        <v>5</v>
      </c>
      <c r="I15" s="2">
        <f>(B15-B$5)/(B$4-B$5)</f>
        <v>8.3333333333333273E-2</v>
      </c>
      <c r="J15" s="2">
        <f>(C15-C$5)/(C$4-C$5)</f>
        <v>0.58333333333333326</v>
      </c>
      <c r="K15" s="2">
        <f>(D15-D$5)/(D$4-D$5)</f>
        <v>6.7796610169491511E-2</v>
      </c>
      <c r="L15" s="2">
        <f>(E15-E$5)/(E$4-E$5)</f>
        <v>8.3333333333333329E-2</v>
      </c>
      <c r="M15" s="3">
        <f>IF($F15=M$8,1,0)</f>
        <v>1</v>
      </c>
      <c r="N15" s="3">
        <f>IF($F15=N$8,1,0)</f>
        <v>0</v>
      </c>
      <c r="O15" s="3">
        <f>IF($F15=O$8,1,0)</f>
        <v>0</v>
      </c>
      <c r="CD15" s="2">
        <f ca="1">CD$2*$I15+CD$3*$J15+CD$4*$K15+CD$5*$L15+CD$6</f>
        <v>0.2503079910722707</v>
      </c>
      <c r="CE15" s="2">
        <f ca="1">CE$2*$I15+CE$3*$J15+CE$4*$K15+CE$5*$L15+CE$6</f>
        <v>4.4423579636271374E-2</v>
      </c>
      <c r="CF15" s="2">
        <f ca="1">CF$2*$I15+CF$3*$J15+CF$4*$K15+CF$5*$L15+CF$6</f>
        <v>0.26303065486785204</v>
      </c>
      <c r="CG15" s="2">
        <f t="shared" ca="1" si="4"/>
        <v>1.2844209459592655</v>
      </c>
      <c r="CH15" s="2">
        <f t="shared" ca="1" si="1"/>
        <v>1.0454250818926896</v>
      </c>
      <c r="CI15" s="2">
        <f t="shared" ca="1" si="2"/>
        <v>1.3008665962341055</v>
      </c>
      <c r="CJ15" s="2">
        <f t="shared" ca="1" si="5"/>
        <v>3.630712624086061</v>
      </c>
      <c r="CK15" s="2">
        <f ca="1">CG15/'1'!$H15</f>
        <v>0.35697698801822675</v>
      </c>
      <c r="CL15" s="2">
        <f t="shared" ca="1" si="6"/>
        <v>0.28793936346197285</v>
      </c>
      <c r="CM15" s="2">
        <f t="shared" ca="1" si="7"/>
        <v>0.3582951147397862</v>
      </c>
      <c r="CN15" s="2">
        <f ca="1">-$M15*LOG(CK15)</f>
        <v>0.44735977912259156</v>
      </c>
      <c r="CO15" s="2">
        <f ca="1">-$N15*LOG(CL15)</f>
        <v>0</v>
      </c>
      <c r="CP15" s="2">
        <f ca="1">-$O15*LOG(CM15)</f>
        <v>0</v>
      </c>
      <c r="CQ15" s="2">
        <f t="shared" ca="1" si="3"/>
        <v>0.44735977912259156</v>
      </c>
      <c r="CR15" s="2"/>
      <c r="CS15" s="2">
        <f ca="1">(CK15-'2'!Z15)*'2'!V15</f>
        <v>2.1892272856382792E-4</v>
      </c>
      <c r="CT15" s="2">
        <f>('1'!$I15-$M15)*'2'!W15</f>
        <v>-4.3209876543209867E-2</v>
      </c>
      <c r="CU15" s="2">
        <f>('1'!$I15-$M15)*'2'!X15</f>
        <v>-5.0219711236660376E-3</v>
      </c>
      <c r="CV15" s="2">
        <f>('1'!$I15-$M15)*'2'!Y15</f>
        <v>-6.17283950617284E-3</v>
      </c>
      <c r="CW15" s="2">
        <f>('1'!$I15-$M15)</f>
        <v>-0.66666666666666674</v>
      </c>
      <c r="CX15" s="2">
        <f>('1'!$J15-$N15)*'2'!V15</f>
        <v>3.086419753086417E-3</v>
      </c>
      <c r="CY15" s="2">
        <f>('1'!$J15-$N15)*'2'!W15</f>
        <v>2.160493827160493E-2</v>
      </c>
      <c r="CZ15" s="2">
        <f>('1'!$J15-$N15)*'2'!X15</f>
        <v>2.5109855618330183E-3</v>
      </c>
      <c r="DA15" s="2">
        <f>('1'!$J15-$N15)*'2'!Y15</f>
        <v>3.0864197530864196E-3</v>
      </c>
      <c r="DB15" s="2">
        <f>('1'!$J15-$N15)</f>
        <v>0.33333333333333331</v>
      </c>
      <c r="DC15" s="2">
        <f>('1'!$K15-$O15)*'2'!V15</f>
        <v>3.086419753086417E-3</v>
      </c>
      <c r="DD15" s="2">
        <f>('1'!$K15-$O15)*'2'!W15</f>
        <v>2.160493827160493E-2</v>
      </c>
      <c r="DE15" s="2">
        <f>('1'!$K15-$O15)*'2'!X15</f>
        <v>2.5109855618330183E-3</v>
      </c>
      <c r="DF15" s="2">
        <f>('1'!$K15-$O15)*'2'!Y15</f>
        <v>3.0864197530864196E-3</v>
      </c>
      <c r="DG15" s="2">
        <f>('1'!$K15-$O15)</f>
        <v>0.33333333333333331</v>
      </c>
    </row>
    <row r="16" spans="1:111" ht="15" x14ac:dyDescent="0.25">
      <c r="B16" s="1">
        <v>5</v>
      </c>
      <c r="C16" s="1">
        <v>3.4</v>
      </c>
      <c r="D16" s="1">
        <v>1.5</v>
      </c>
      <c r="E16" s="1">
        <v>0.2</v>
      </c>
      <c r="F16" s="1" t="s">
        <v>5</v>
      </c>
      <c r="I16" s="2">
        <f>(B16-B$5)/(B$4-B$5)</f>
        <v>0.19444444444444448</v>
      </c>
      <c r="J16" s="2">
        <f>(C16-C$5)/(C$4-C$5)</f>
        <v>0.58333333333333326</v>
      </c>
      <c r="K16" s="2">
        <f>(D16-D$5)/(D$4-D$5)</f>
        <v>8.4745762711864403E-2</v>
      </c>
      <c r="L16" s="2">
        <f>(E16-E$5)/(E$4-E$5)</f>
        <v>4.1666666666666671E-2</v>
      </c>
      <c r="M16" s="3">
        <f>IF($F16=M$8,1,0)</f>
        <v>1</v>
      </c>
      <c r="N16" s="3">
        <f>IF($F16=N$8,1,0)</f>
        <v>0</v>
      </c>
      <c r="O16" s="3">
        <f>IF($F16=O$8,1,0)</f>
        <v>0</v>
      </c>
      <c r="CD16" s="2">
        <f ca="1">CD$2*$I16+CD$3*$J16+CD$4*$K16+CD$5*$L16+CD$6</f>
        <v>0.26766156962548304</v>
      </c>
      <c r="CE16" s="2">
        <f ca="1">CE$2*$I16+CE$3*$J16+CE$4*$K16+CE$5*$L16+CE$6</f>
        <v>4.2261534150919614E-2</v>
      </c>
      <c r="CF16" s="2">
        <f ca="1">CF$2*$I16+CF$3*$J16+CF$4*$K16+CF$5*$L16+CF$6</f>
        <v>0.28722432104643481</v>
      </c>
      <c r="CG16" s="2">
        <f t="shared" ca="1" si="4"/>
        <v>1.3069047688928517</v>
      </c>
      <c r="CH16" s="2">
        <f t="shared" ca="1" si="1"/>
        <v>1.0431672669429213</v>
      </c>
      <c r="CI16" s="2">
        <f t="shared" ca="1" si="2"/>
        <v>1.3327231377957924</v>
      </c>
      <c r="CJ16" s="2">
        <f t="shared" ca="1" si="5"/>
        <v>3.6827951736315656</v>
      </c>
      <c r="CK16" s="2">
        <f ca="1">CG16/'1'!$H16</f>
        <v>0.36010135706427204</v>
      </c>
      <c r="CL16" s="2">
        <f t="shared" ca="1" si="6"/>
        <v>0.28325421799504125</v>
      </c>
      <c r="CM16" s="2">
        <f t="shared" ca="1" si="7"/>
        <v>0.361878159105332</v>
      </c>
      <c r="CN16" s="2">
        <f ca="1">-$M16*LOG(CK16)</f>
        <v>0.44357524195997156</v>
      </c>
      <c r="CO16" s="2">
        <f ca="1">-$N16*LOG(CL16)</f>
        <v>0</v>
      </c>
      <c r="CP16" s="2">
        <f ca="1">-$O16*LOG(CM16)</f>
        <v>0</v>
      </c>
      <c r="CQ16" s="2">
        <f t="shared" ca="1" si="3"/>
        <v>0.44357524195997156</v>
      </c>
      <c r="CR16" s="2"/>
      <c r="CS16" s="2">
        <f ca="1">(CK16-'2'!Z16)*'2'!V16</f>
        <v>5.7832150035978737E-4</v>
      </c>
      <c r="CT16" s="2">
        <f>('1'!$I16-$M16)*'2'!W16</f>
        <v>-4.3209876543209867E-2</v>
      </c>
      <c r="CU16" s="2">
        <f>('1'!$I16-$M16)*'2'!X16</f>
        <v>-6.2774639045825474E-3</v>
      </c>
      <c r="CV16" s="2">
        <f>('1'!$I16-$M16)*'2'!Y16</f>
        <v>-3.08641975308642E-3</v>
      </c>
      <c r="CW16" s="2">
        <f>('1'!$I16-$M16)</f>
        <v>-0.66666666666666674</v>
      </c>
      <c r="CX16" s="2">
        <f>('1'!$J16-$N16)*'2'!V16</f>
        <v>7.2016460905349796E-3</v>
      </c>
      <c r="CY16" s="2">
        <f>('1'!$J16-$N16)*'2'!W16</f>
        <v>2.160493827160493E-2</v>
      </c>
      <c r="CZ16" s="2">
        <f>('1'!$J16-$N16)*'2'!X16</f>
        <v>3.1387319522912733E-3</v>
      </c>
      <c r="DA16" s="2">
        <f>('1'!$J16-$N16)*'2'!Y16</f>
        <v>1.5432098765432098E-3</v>
      </c>
      <c r="DB16" s="2">
        <f>('1'!$J16-$N16)</f>
        <v>0.33333333333333331</v>
      </c>
      <c r="DC16" s="2">
        <f>('1'!$K16-$O16)*'2'!V16</f>
        <v>7.2016460905349796E-3</v>
      </c>
      <c r="DD16" s="2">
        <f>('1'!$K16-$O16)*'2'!W16</f>
        <v>2.160493827160493E-2</v>
      </c>
      <c r="DE16" s="2">
        <f>('1'!$K16-$O16)*'2'!X16</f>
        <v>3.1387319522912733E-3</v>
      </c>
      <c r="DF16" s="2">
        <f>('1'!$K16-$O16)*'2'!Y16</f>
        <v>1.5432098765432098E-3</v>
      </c>
      <c r="DG16" s="2">
        <f>('1'!$K16-$O16)</f>
        <v>0.33333333333333331</v>
      </c>
    </row>
    <row r="17" spans="2:111" ht="15" x14ac:dyDescent="0.25">
      <c r="B17" s="1">
        <v>4.4000000000000004</v>
      </c>
      <c r="C17" s="1">
        <v>2.9</v>
      </c>
      <c r="D17" s="1">
        <v>1.4</v>
      </c>
      <c r="E17" s="1">
        <v>0.2</v>
      </c>
      <c r="F17" s="1" t="s">
        <v>5</v>
      </c>
      <c r="I17" s="2">
        <f>(B17-B$5)/(B$4-B$5)</f>
        <v>2.7777777777777922E-2</v>
      </c>
      <c r="J17" s="2">
        <f>(C17-C$5)/(C$4-C$5)</f>
        <v>0.37499999999999989</v>
      </c>
      <c r="K17" s="2">
        <f>(D17-D$5)/(D$4-D$5)</f>
        <v>6.7796610169491511E-2</v>
      </c>
      <c r="L17" s="2">
        <f>(E17-E$5)/(E$4-E$5)</f>
        <v>4.1666666666666671E-2</v>
      </c>
      <c r="M17" s="3">
        <f>IF($F17=M$8,1,0)</f>
        <v>1</v>
      </c>
      <c r="N17" s="3">
        <f>IF($F17=N$8,1,0)</f>
        <v>0</v>
      </c>
      <c r="O17" s="3">
        <f>IF($F17=O$8,1,0)</f>
        <v>0</v>
      </c>
      <c r="CD17" s="2">
        <f ca="1">CD$2*$I17+CD$3*$J17+CD$4*$K17+CD$5*$L17+CD$6</f>
        <v>0.19243863895357338</v>
      </c>
      <c r="CE17" s="2">
        <f ca="1">CE$2*$I17+CE$3*$J17+CE$4*$K17+CE$5*$L17+CE$6</f>
        <v>6.597294783903257E-2</v>
      </c>
      <c r="CF17" s="2">
        <f ca="1">CF$2*$I17+CF$3*$J17+CF$4*$K17+CF$5*$L17+CF$6</f>
        <v>0.20130778164388347</v>
      </c>
      <c r="CG17" s="2">
        <f t="shared" ca="1" si="4"/>
        <v>1.2122021194347898</v>
      </c>
      <c r="CH17" s="2">
        <f t="shared" ca="1" si="1"/>
        <v>1.0681978197157618</v>
      </c>
      <c r="CI17" s="2">
        <f t="shared" ca="1" si="2"/>
        <v>1.2230011312007345</v>
      </c>
      <c r="CJ17" s="2">
        <f t="shared" ca="1" si="5"/>
        <v>3.5034010703512859</v>
      </c>
      <c r="CK17" s="2">
        <f ca="1">CG17/'1'!$H17</f>
        <v>0.34735854723105164</v>
      </c>
      <c r="CL17" s="2">
        <f t="shared" ca="1" si="6"/>
        <v>0.30490309224249157</v>
      </c>
      <c r="CM17" s="2">
        <f t="shared" ca="1" si="7"/>
        <v>0.34908967219048781</v>
      </c>
      <c r="CN17" s="2">
        <f ca="1">-$M17*LOG(CK17)</f>
        <v>0.45922201024979198</v>
      </c>
      <c r="CO17" s="2">
        <f ca="1">-$N17*LOG(CL17)</f>
        <v>0</v>
      </c>
      <c r="CP17" s="2">
        <f ca="1">-$O17*LOG(CM17)</f>
        <v>0</v>
      </c>
      <c r="CQ17" s="2">
        <f t="shared" ca="1" si="3"/>
        <v>0.45922201024979198</v>
      </c>
      <c r="CR17" s="2"/>
      <c r="CS17" s="2">
        <f ca="1">(CK17-'2'!Z17)*'2'!V17</f>
        <v>4.3287697215180237E-5</v>
      </c>
      <c r="CT17" s="2">
        <f>('1'!$I17-$M17)*'2'!W17</f>
        <v>-2.7777777777777769E-2</v>
      </c>
      <c r="CU17" s="2">
        <f>('1'!$I17-$M17)*'2'!X17</f>
        <v>-5.0219711236660376E-3</v>
      </c>
      <c r="CV17" s="2">
        <f>('1'!$I17-$M17)*'2'!Y17</f>
        <v>-3.08641975308642E-3</v>
      </c>
      <c r="CW17" s="2">
        <f>('1'!$I17-$M17)</f>
        <v>-0.66666666666666674</v>
      </c>
      <c r="CX17" s="2">
        <f>('1'!$J17-$N17)*'2'!V17</f>
        <v>1.0288065843621452E-3</v>
      </c>
      <c r="CY17" s="2">
        <f>('1'!$J17-$N17)*'2'!W17</f>
        <v>1.3888888888888883E-2</v>
      </c>
      <c r="CZ17" s="2">
        <f>('1'!$J17-$N17)*'2'!X17</f>
        <v>2.5109855618330183E-3</v>
      </c>
      <c r="DA17" s="2">
        <f>('1'!$J17-$N17)*'2'!Y17</f>
        <v>1.5432098765432098E-3</v>
      </c>
      <c r="DB17" s="2">
        <f>('1'!$J17-$N17)</f>
        <v>0.33333333333333331</v>
      </c>
      <c r="DC17" s="2">
        <f>('1'!$K17-$O17)*'2'!V17</f>
        <v>1.0288065843621452E-3</v>
      </c>
      <c r="DD17" s="2">
        <f>('1'!$K17-$O17)*'2'!W17</f>
        <v>1.3888888888888883E-2</v>
      </c>
      <c r="DE17" s="2">
        <f>('1'!$K17-$O17)*'2'!X17</f>
        <v>2.5109855618330183E-3</v>
      </c>
      <c r="DF17" s="2">
        <f>('1'!$K17-$O17)*'2'!Y17</f>
        <v>1.5432098765432098E-3</v>
      </c>
      <c r="DG17" s="2">
        <f>('1'!$K17-$O17)</f>
        <v>0.33333333333333331</v>
      </c>
    </row>
    <row r="18" spans="2:111" ht="15" x14ac:dyDescent="0.25">
      <c r="B18" s="1">
        <v>4.9000000000000004</v>
      </c>
      <c r="C18" s="1">
        <v>3.1</v>
      </c>
      <c r="D18" s="1">
        <v>1.5</v>
      </c>
      <c r="E18" s="1">
        <v>0.1</v>
      </c>
      <c r="F18" s="1" t="s">
        <v>5</v>
      </c>
      <c r="I18" s="2">
        <f>(B18-B$5)/(B$4-B$5)</f>
        <v>0.1666666666666668</v>
      </c>
      <c r="J18" s="2">
        <f>(C18-C$5)/(C$4-C$5)</f>
        <v>0.45833333333333331</v>
      </c>
      <c r="K18" s="2">
        <f>(D18-D$5)/(D$4-D$5)</f>
        <v>8.4745762711864403E-2</v>
      </c>
      <c r="L18" s="2">
        <f>(E18-E$5)/(E$4-E$5)</f>
        <v>0</v>
      </c>
      <c r="M18" s="3">
        <f>IF($F18=M$8,1,0)</f>
        <v>1</v>
      </c>
      <c r="N18" s="3">
        <f>IF($F18=N$8,1,0)</f>
        <v>0</v>
      </c>
      <c r="O18" s="3">
        <f>IF($F18=O$8,1,0)</f>
        <v>0</v>
      </c>
      <c r="CD18" s="2">
        <f ca="1">CD$2*$I18+CD$3*$J18+CD$4*$K18+CD$5*$L18+CD$6</f>
        <v>0.23502896668760531</v>
      </c>
      <c r="CE18" s="2">
        <f ca="1">CE$2*$I18+CE$3*$J18+CE$4*$K18+CE$5*$L18+CE$6</f>
        <v>5.5581126738444384E-2</v>
      </c>
      <c r="CF18" s="2">
        <f ca="1">CF$2*$I18+CF$3*$J18+CF$4*$K18+CF$5*$L18+CF$6</f>
        <v>0.24501590282683539</v>
      </c>
      <c r="CG18" s="2">
        <f t="shared" ca="1" si="4"/>
        <v>1.2649454094807229</v>
      </c>
      <c r="CH18" s="2">
        <f t="shared" ca="1" si="1"/>
        <v>1.0571547771127576</v>
      </c>
      <c r="CI18" s="2">
        <f t="shared" ca="1" si="2"/>
        <v>1.2776416311569476</v>
      </c>
      <c r="CJ18" s="2">
        <f t="shared" ca="1" si="5"/>
        <v>3.5997418177504281</v>
      </c>
      <c r="CK18" s="2">
        <f ca="1">CG18/'1'!$H18</f>
        <v>0.35538346184932118</v>
      </c>
      <c r="CL18" s="2">
        <f t="shared" ca="1" si="6"/>
        <v>0.29367516634106861</v>
      </c>
      <c r="CM18" s="2">
        <f t="shared" ca="1" si="7"/>
        <v>0.35492590742393271</v>
      </c>
      <c r="CN18" s="2">
        <f ca="1">-$M18*LOG(CK18)</f>
        <v>0.4493027864201351</v>
      </c>
      <c r="CO18" s="2">
        <f ca="1">-$N18*LOG(CL18)</f>
        <v>0</v>
      </c>
      <c r="CP18" s="2">
        <f ca="1">-$O18*LOG(CM18)</f>
        <v>0</v>
      </c>
      <c r="CQ18" s="2">
        <f t="shared" ca="1" si="3"/>
        <v>0.4493027864201351</v>
      </c>
      <c r="CR18" s="2"/>
      <c r="CS18" s="2">
        <f ca="1">(CK18-'2'!Z18)*'2'!V18</f>
        <v>4.0833571325903393E-4</v>
      </c>
      <c r="CT18" s="2">
        <f>('1'!$I18-$M18)*'2'!W18</f>
        <v>-3.3950617283950622E-2</v>
      </c>
      <c r="CU18" s="2">
        <f>('1'!$I18-$M18)*'2'!X18</f>
        <v>-6.27746390458255E-3</v>
      </c>
      <c r="CV18" s="2">
        <f>('1'!$I18-$M18)*'2'!Y18</f>
        <v>0</v>
      </c>
      <c r="CW18" s="2">
        <f>('1'!$I18-$M18)</f>
        <v>-0.66666666666666663</v>
      </c>
      <c r="CX18" s="2">
        <f>('1'!$J18-$N18)*'2'!V18</f>
        <v>6.172839506172847E-3</v>
      </c>
      <c r="CY18" s="2">
        <f>('1'!$J18-$N18)*'2'!W18</f>
        <v>1.6975308641975315E-2</v>
      </c>
      <c r="CZ18" s="2">
        <f>('1'!$J18-$N18)*'2'!X18</f>
        <v>3.1387319522912754E-3</v>
      </c>
      <c r="DA18" s="2">
        <f>('1'!$J18-$N18)*'2'!Y18</f>
        <v>0</v>
      </c>
      <c r="DB18" s="2">
        <f>('1'!$J18-$N18)</f>
        <v>0.33333333333333337</v>
      </c>
      <c r="DC18" s="2">
        <f>('1'!$K18-$O18)*'2'!V18</f>
        <v>6.172839506172847E-3</v>
      </c>
      <c r="DD18" s="2">
        <f>('1'!$K18-$O18)*'2'!W18</f>
        <v>1.6975308641975315E-2</v>
      </c>
      <c r="DE18" s="2">
        <f>('1'!$K18-$O18)*'2'!X18</f>
        <v>3.1387319522912754E-3</v>
      </c>
      <c r="DF18" s="2">
        <f>('1'!$K18-$O18)*'2'!Y18</f>
        <v>0</v>
      </c>
      <c r="DG18" s="2">
        <f>('1'!$K18-$O18)</f>
        <v>0.33333333333333337</v>
      </c>
    </row>
    <row r="19" spans="2:111" ht="15" x14ac:dyDescent="0.25">
      <c r="B19" s="1">
        <v>5.4</v>
      </c>
      <c r="C19" s="1">
        <v>3.7</v>
      </c>
      <c r="D19" s="1">
        <v>1.5</v>
      </c>
      <c r="E19" s="1">
        <v>0.2</v>
      </c>
      <c r="F19" s="1" t="s">
        <v>5</v>
      </c>
      <c r="I19" s="2">
        <f>(B19-B$5)/(B$4-B$5)</f>
        <v>0.30555555555555564</v>
      </c>
      <c r="J19" s="2">
        <f>(C19-C$5)/(C$4-C$5)</f>
        <v>0.70833333333333326</v>
      </c>
      <c r="K19" s="2">
        <f>(D19-D$5)/(D$4-D$5)</f>
        <v>8.4745762711864403E-2</v>
      </c>
      <c r="L19" s="2">
        <f>(E19-E$5)/(E$4-E$5)</f>
        <v>4.1666666666666671E-2</v>
      </c>
      <c r="M19" s="3">
        <f>IF($F19=M$8,1,0)</f>
        <v>1</v>
      </c>
      <c r="N19" s="3">
        <f>IF($F19=N$8,1,0)</f>
        <v>0</v>
      </c>
      <c r="O19" s="3">
        <f>IF($F19=O$8,1,0)</f>
        <v>0</v>
      </c>
      <c r="CD19" s="2">
        <f ca="1">CD$2*$I19+CD$3*$J19+CD$4*$K19+CD$5*$L19+CD$6</f>
        <v>0.3149915724644034</v>
      </c>
      <c r="CE19" s="2">
        <f ca="1">CE$2*$I19+CE$3*$J19+CE$4*$K19+CE$5*$L19+CE$6</f>
        <v>2.7500717266094071E-2</v>
      </c>
      <c r="CF19" s="2">
        <f ca="1">CF$2*$I19+CF$3*$J19+CF$4*$K19+CF$5*$L19+CF$6</f>
        <v>0.33824084937214943</v>
      </c>
      <c r="CG19" s="2">
        <f t="shared" ca="1" si="4"/>
        <v>1.3702477630965371</v>
      </c>
      <c r="CH19" s="2">
        <f t="shared" ca="1" si="1"/>
        <v>1.0278823523721483</v>
      </c>
      <c r="CI19" s="2">
        <f t="shared" ca="1" si="2"/>
        <v>1.4024782487364738</v>
      </c>
      <c r="CJ19" s="2">
        <f t="shared" ca="1" si="5"/>
        <v>3.8006083642051589</v>
      </c>
      <c r="CK19" s="2">
        <f ca="1">CG19/'1'!$H19</f>
        <v>0.36874466175465204</v>
      </c>
      <c r="CL19" s="2">
        <f t="shared" ca="1" si="6"/>
        <v>0.27045205763712377</v>
      </c>
      <c r="CM19" s="2">
        <f t="shared" ca="1" si="7"/>
        <v>0.36901414572079472</v>
      </c>
      <c r="CN19" s="2">
        <f ca="1">-$M19*LOG(CK19)</f>
        <v>0.43327425816572335</v>
      </c>
      <c r="CO19" s="2">
        <f ca="1">-$N19*LOG(CL19)</f>
        <v>0</v>
      </c>
      <c r="CP19" s="2">
        <f ca="1">-$O19*LOG(CM19)</f>
        <v>0</v>
      </c>
      <c r="CQ19" s="2">
        <f t="shared" ca="1" si="3"/>
        <v>0.43327425816572335</v>
      </c>
      <c r="CR19" s="2"/>
      <c r="CS19" s="2">
        <f ca="1">(CK19-'2'!Z19)*'2'!V19</f>
        <v>1.2022364587484739E-3</v>
      </c>
      <c r="CT19" s="2">
        <f>('1'!$I19-$M19)*'2'!W19</f>
        <v>-5.2469135802469133E-2</v>
      </c>
      <c r="CU19" s="2">
        <f>('1'!$I19-$M19)*'2'!X19</f>
        <v>-6.27746390458255E-3</v>
      </c>
      <c r="CV19" s="2">
        <f>('1'!$I19-$M19)*'2'!Y19</f>
        <v>-3.0864197530864204E-3</v>
      </c>
      <c r="CW19" s="2">
        <f>('1'!$I19-$M19)</f>
        <v>-0.66666666666666663</v>
      </c>
      <c r="CX19" s="2">
        <f>('1'!$J19-$N19)*'2'!V19</f>
        <v>1.1316872427983547E-2</v>
      </c>
      <c r="CY19" s="2">
        <f>('1'!$J19-$N19)*'2'!W19</f>
        <v>2.6234567901234573E-2</v>
      </c>
      <c r="CZ19" s="2">
        <f>('1'!$J19-$N19)*'2'!X19</f>
        <v>3.1387319522912754E-3</v>
      </c>
      <c r="DA19" s="2">
        <f>('1'!$J19-$N19)*'2'!Y19</f>
        <v>1.5432098765432104E-3</v>
      </c>
      <c r="DB19" s="2">
        <f>('1'!$J19-$N19)</f>
        <v>0.33333333333333337</v>
      </c>
      <c r="DC19" s="2">
        <f>('1'!$K19-$O19)*'2'!V19</f>
        <v>1.1316872427983547E-2</v>
      </c>
      <c r="DD19" s="2">
        <f>('1'!$K19-$O19)*'2'!W19</f>
        <v>2.6234567901234573E-2</v>
      </c>
      <c r="DE19" s="2">
        <f>('1'!$K19-$O19)*'2'!X19</f>
        <v>3.1387319522912754E-3</v>
      </c>
      <c r="DF19" s="2">
        <f>('1'!$K19-$O19)*'2'!Y19</f>
        <v>1.5432098765432104E-3</v>
      </c>
      <c r="DG19" s="2">
        <f>('1'!$K19-$O19)</f>
        <v>0.33333333333333337</v>
      </c>
    </row>
    <row r="20" spans="2:111" ht="15" x14ac:dyDescent="0.25">
      <c r="B20" s="1">
        <v>4.8</v>
      </c>
      <c r="C20" s="1">
        <v>3.4</v>
      </c>
      <c r="D20" s="1">
        <v>1.6</v>
      </c>
      <c r="E20" s="1">
        <v>0.2</v>
      </c>
      <c r="F20" s="1" t="s">
        <v>5</v>
      </c>
      <c r="I20" s="2">
        <f>(B20-B$5)/(B$4-B$5)</f>
        <v>0.13888888888888887</v>
      </c>
      <c r="J20" s="2">
        <f>(C20-C$5)/(C$4-C$5)</f>
        <v>0.58333333333333326</v>
      </c>
      <c r="K20" s="2">
        <f>(D20-D$5)/(D$4-D$5)</f>
        <v>0.10169491525423729</v>
      </c>
      <c r="L20" s="2">
        <f>(E20-E$5)/(E$4-E$5)</f>
        <v>4.1666666666666671E-2</v>
      </c>
      <c r="M20" s="3">
        <f>IF($F20=M$8,1,0)</f>
        <v>1</v>
      </c>
      <c r="N20" s="3">
        <f>IF($F20=N$8,1,0)</f>
        <v>0</v>
      </c>
      <c r="O20" s="3">
        <f>IF($F20=O$8,1,0)</f>
        <v>0</v>
      </c>
      <c r="CD20" s="2">
        <f ca="1">CD$2*$I20+CD$3*$J20+CD$4*$K20+CD$5*$L20+CD$6</f>
        <v>0.25894789339642355</v>
      </c>
      <c r="CE20" s="2">
        <f ca="1">CE$2*$I20+CE$3*$J20+CE$4*$K20+CE$5*$L20+CE$6</f>
        <v>4.44400971172337E-2</v>
      </c>
      <c r="CF20" s="2">
        <f ca="1">CF$2*$I20+CF$3*$J20+CF$4*$K20+CF$5*$L20+CF$6</f>
        <v>0.27651606213590929</v>
      </c>
      <c r="CG20" s="2">
        <f t="shared" ca="1" si="4"/>
        <v>1.2955662955098559</v>
      </c>
      <c r="CH20" s="2">
        <f t="shared" ca="1" si="1"/>
        <v>1.0454423498241883</v>
      </c>
      <c r="CI20" s="2">
        <f t="shared" ca="1" si="2"/>
        <v>1.3185281309257137</v>
      </c>
      <c r="CJ20" s="2">
        <f t="shared" ca="1" si="5"/>
        <v>3.6595367762597579</v>
      </c>
      <c r="CK20" s="2">
        <f ca="1">CG20/'1'!$H20</f>
        <v>0.35835800593525224</v>
      </c>
      <c r="CL20" s="2">
        <f t="shared" ca="1" si="6"/>
        <v>0.28567614256706175</v>
      </c>
      <c r="CM20" s="2">
        <f t="shared" ca="1" si="7"/>
        <v>0.3602991885419225</v>
      </c>
      <c r="CN20" s="2">
        <f ca="1">-$M20*LOG(CK20)</f>
        <v>0.44568288868386785</v>
      </c>
      <c r="CO20" s="2">
        <f ca="1">-$N20*LOG(CL20)</f>
        <v>0</v>
      </c>
      <c r="CP20" s="2">
        <f ca="1">-$O20*LOG(CM20)</f>
        <v>0</v>
      </c>
      <c r="CQ20" s="2">
        <f t="shared" ca="1" si="3"/>
        <v>0.44568288868386785</v>
      </c>
      <c r="CR20" s="2"/>
      <c r="CS20" s="2">
        <f ca="1">(CK20-'2'!Z20)*'2'!V20</f>
        <v>3.8618321916541548E-4</v>
      </c>
      <c r="CT20" s="2">
        <f>('1'!$I20-$M20)*'2'!W20</f>
        <v>-4.3209876543209867E-2</v>
      </c>
      <c r="CU20" s="2">
        <f>('1'!$I20-$M20)*'2'!X20</f>
        <v>-7.5329566854990589E-3</v>
      </c>
      <c r="CV20" s="2">
        <f>('1'!$I20-$M20)*'2'!Y20</f>
        <v>-3.08641975308642E-3</v>
      </c>
      <c r="CW20" s="2">
        <f>('1'!$I20-$M20)</f>
        <v>-0.66666666666666674</v>
      </c>
      <c r="CX20" s="2">
        <f>('1'!$J20-$N20)*'2'!V20</f>
        <v>5.1440329218106979E-3</v>
      </c>
      <c r="CY20" s="2">
        <f>('1'!$J20-$N20)*'2'!W20</f>
        <v>2.160493827160493E-2</v>
      </c>
      <c r="CZ20" s="2">
        <f>('1'!$J20-$N20)*'2'!X20</f>
        <v>3.766478342749529E-3</v>
      </c>
      <c r="DA20" s="2">
        <f>('1'!$J20-$N20)*'2'!Y20</f>
        <v>1.5432098765432098E-3</v>
      </c>
      <c r="DB20" s="2">
        <f>('1'!$J20-$N20)</f>
        <v>0.33333333333333331</v>
      </c>
      <c r="DC20" s="2">
        <f>('1'!$K20-$O20)*'2'!V20</f>
        <v>5.1440329218106979E-3</v>
      </c>
      <c r="DD20" s="2">
        <f>('1'!$K20-$O20)*'2'!W20</f>
        <v>2.160493827160493E-2</v>
      </c>
      <c r="DE20" s="2">
        <f>('1'!$K20-$O20)*'2'!X20</f>
        <v>3.766478342749529E-3</v>
      </c>
      <c r="DF20" s="2">
        <f>('1'!$K20-$O20)*'2'!Y20</f>
        <v>1.5432098765432098E-3</v>
      </c>
      <c r="DG20" s="2">
        <f>('1'!$K20-$O20)</f>
        <v>0.33333333333333331</v>
      </c>
    </row>
    <row r="21" spans="2:111" ht="15" x14ac:dyDescent="0.25">
      <c r="B21" s="1">
        <v>4.8</v>
      </c>
      <c r="C21" s="1">
        <v>3</v>
      </c>
      <c r="D21" s="1">
        <v>1.4</v>
      </c>
      <c r="E21" s="1">
        <v>0.1</v>
      </c>
      <c r="F21" s="1" t="s">
        <v>5</v>
      </c>
      <c r="I21" s="2">
        <f>(B21-B$5)/(B$4-B$5)</f>
        <v>0.13888888888888887</v>
      </c>
      <c r="J21" s="2">
        <f>(C21-C$5)/(C$4-C$5)</f>
        <v>0.41666666666666663</v>
      </c>
      <c r="K21" s="2">
        <f>(D21-D$5)/(D$4-D$5)</f>
        <v>6.7796610169491511E-2</v>
      </c>
      <c r="L21" s="2">
        <f>(E21-E$5)/(E$4-E$5)</f>
        <v>0</v>
      </c>
      <c r="M21" s="3">
        <f>IF($F21=M$8,1,0)</f>
        <v>1</v>
      </c>
      <c r="N21" s="3">
        <f>IF($F21=N$8,1,0)</f>
        <v>0</v>
      </c>
      <c r="O21" s="3">
        <f>IF($F21=O$8,1,0)</f>
        <v>0</v>
      </c>
      <c r="CD21" s="2">
        <f ca="1">CD$2*$I21+CD$3*$J21+CD$4*$K21+CD$5*$L21+CD$6</f>
        <v>0.22164938925856403</v>
      </c>
      <c r="CE21" s="2">
        <f ca="1">CE$2*$I21+CE$3*$J21+CE$4*$K21+CE$5*$L21+CE$6</f>
        <v>5.9933605041719414E-2</v>
      </c>
      <c r="CF21" s="2">
        <f ca="1">CF$2*$I21+CF$3*$J21+CF$4*$K21+CF$5*$L21+CF$6</f>
        <v>0.22422208841601543</v>
      </c>
      <c r="CG21" s="2">
        <f t="shared" ca="1" si="4"/>
        <v>1.2481336920609103</v>
      </c>
      <c r="CH21" s="2">
        <f t="shared" ca="1" si="1"/>
        <v>1.0617660482925411</v>
      </c>
      <c r="CI21" s="2">
        <f t="shared" ca="1" si="2"/>
        <v>1.2513488986651276</v>
      </c>
      <c r="CJ21" s="2">
        <f t="shared" ca="1" si="5"/>
        <v>3.5612486390185785</v>
      </c>
      <c r="CK21" s="2">
        <f ca="1">CG21/'1'!$H21</f>
        <v>0.35370285323465428</v>
      </c>
      <c r="CL21" s="2">
        <f t="shared" ca="1" si="6"/>
        <v>0.29814431844476502</v>
      </c>
      <c r="CM21" s="2">
        <f t="shared" ca="1" si="7"/>
        <v>0.35137925640877993</v>
      </c>
      <c r="CN21" s="2">
        <f ca="1">-$M21*LOG(CK21)</f>
        <v>0.45136143682345037</v>
      </c>
      <c r="CO21" s="2">
        <f ca="1">-$N21*LOG(CL21)</f>
        <v>0</v>
      </c>
      <c r="CP21" s="2">
        <f ca="1">-$O21*LOG(CM21)</f>
        <v>0</v>
      </c>
      <c r="CQ21" s="2">
        <f t="shared" ca="1" si="3"/>
        <v>0.45136143682345037</v>
      </c>
      <c r="CR21" s="2"/>
      <c r="CS21" s="2">
        <f ca="1">(CK21-'2'!Z21)*'2'!V21</f>
        <v>3.1434444292161972E-4</v>
      </c>
      <c r="CT21" s="2">
        <f>('1'!$I21-$M21)*'2'!W21</f>
        <v>-3.0864197530864196E-2</v>
      </c>
      <c r="CU21" s="2">
        <f>('1'!$I21-$M21)*'2'!X21</f>
        <v>-5.0219711236660376E-3</v>
      </c>
      <c r="CV21" s="2">
        <f>('1'!$I21-$M21)*'2'!Y21</f>
        <v>0</v>
      </c>
      <c r="CW21" s="2">
        <f>('1'!$I21-$M21)</f>
        <v>-0.66666666666666674</v>
      </c>
      <c r="CX21" s="2">
        <f>('1'!$J21-$N21)*'2'!V21</f>
        <v>5.1440329218106979E-3</v>
      </c>
      <c r="CY21" s="2">
        <f>('1'!$J21-$N21)*'2'!W21</f>
        <v>1.5432098765432094E-2</v>
      </c>
      <c r="CZ21" s="2">
        <f>('1'!$J21-$N21)*'2'!X21</f>
        <v>2.5109855618330183E-3</v>
      </c>
      <c r="DA21" s="2">
        <f>('1'!$J21-$N21)*'2'!Y21</f>
        <v>0</v>
      </c>
      <c r="DB21" s="2">
        <f>('1'!$J21-$N21)</f>
        <v>0.33333333333333331</v>
      </c>
      <c r="DC21" s="2">
        <f>('1'!$K21-$O21)*'2'!V21</f>
        <v>5.1440329218106979E-3</v>
      </c>
      <c r="DD21" s="2">
        <f>('1'!$K21-$O21)*'2'!W21</f>
        <v>1.5432098765432094E-2</v>
      </c>
      <c r="DE21" s="2">
        <f>('1'!$K21-$O21)*'2'!X21</f>
        <v>2.5109855618330183E-3</v>
      </c>
      <c r="DF21" s="2">
        <f>('1'!$K21-$O21)*'2'!Y21</f>
        <v>0</v>
      </c>
      <c r="DG21" s="2">
        <f>('1'!$K21-$O21)</f>
        <v>0.33333333333333331</v>
      </c>
    </row>
    <row r="22" spans="2:111" ht="15" x14ac:dyDescent="0.25">
      <c r="B22" s="1">
        <v>4.3</v>
      </c>
      <c r="C22" s="1">
        <v>3</v>
      </c>
      <c r="D22" s="1">
        <v>1.1000000000000001</v>
      </c>
      <c r="E22" s="1">
        <v>0.1</v>
      </c>
      <c r="F22" s="1" t="s">
        <v>5</v>
      </c>
      <c r="I22" s="2">
        <f>(B22-B$5)/(B$4-B$5)</f>
        <v>0</v>
      </c>
      <c r="J22" s="2">
        <f>(C22-C$5)/(C$4-C$5)</f>
        <v>0.41666666666666663</v>
      </c>
      <c r="K22" s="2">
        <f>(D22-D$5)/(D$4-D$5)</f>
        <v>1.6949152542372895E-2</v>
      </c>
      <c r="L22" s="2">
        <f>(E22-E$5)/(E$4-E$5)</f>
        <v>0</v>
      </c>
      <c r="M22" s="3">
        <f>IF($F22=M$8,1,0)</f>
        <v>1</v>
      </c>
      <c r="N22" s="3">
        <f>IF($F22=N$8,1,0)</f>
        <v>0</v>
      </c>
      <c r="O22" s="3">
        <f>IF($F22=O$8,1,0)</f>
        <v>0</v>
      </c>
      <c r="CD22" s="2">
        <f ca="1">CD$2*$I22+CD$3*$J22+CD$4*$K22+CD$5*$L22+CD$6</f>
        <v>0.20610095004790224</v>
      </c>
      <c r="CE22" s="2">
        <f ca="1">CE$2*$I22+CE$3*$J22+CE$4*$K22+CE$5*$L22+CE$6</f>
        <v>6.4028991375449124E-2</v>
      </c>
      <c r="CF22" s="2">
        <f ca="1">CF$2*$I22+CF$3*$J22+CF$4*$K22+CF$5*$L22+CF$6</f>
        <v>0.16066954354328422</v>
      </c>
      <c r="CG22" s="2">
        <f t="shared" ca="1" si="4"/>
        <v>1.2288772529513841</v>
      </c>
      <c r="CH22" s="2">
        <f t="shared" ca="1" si="1"/>
        <v>1.0661233066945308</v>
      </c>
      <c r="CI22" s="2">
        <f t="shared" ca="1" si="2"/>
        <v>1.1742968507129181</v>
      </c>
      <c r="CJ22" s="2">
        <f t="shared" ca="1" si="5"/>
        <v>3.4692974103588332</v>
      </c>
      <c r="CK22" s="2">
        <f ca="1">CG22/'1'!$H22</f>
        <v>0.35491643182044896</v>
      </c>
      <c r="CL22" s="2">
        <f t="shared" ca="1" si="6"/>
        <v>0.30730236719147713</v>
      </c>
      <c r="CM22" s="2">
        <f t="shared" ca="1" si="7"/>
        <v>0.33848261241790145</v>
      </c>
      <c r="CN22" s="2">
        <f ca="1">-$M22*LOG(CK22)</f>
        <v>0.44987389334401034</v>
      </c>
      <c r="CO22" s="2">
        <f ca="1">-$N22*LOG(CL22)</f>
        <v>0</v>
      </c>
      <c r="CP22" s="2">
        <f ca="1">-$O22*LOG(CM22)</f>
        <v>0</v>
      </c>
      <c r="CQ22" s="2">
        <f t="shared" ca="1" si="3"/>
        <v>0.44987389334401034</v>
      </c>
      <c r="CR22" s="2"/>
      <c r="CS22" s="2">
        <f ca="1">(CK22-'2'!Z22)*'2'!V22</f>
        <v>0</v>
      </c>
      <c r="CT22" s="2">
        <f>('1'!$I22-$M22)*'2'!W22</f>
        <v>-3.0864197530864196E-2</v>
      </c>
      <c r="CU22" s="2">
        <f>('1'!$I22-$M22)*'2'!X22</f>
        <v>-1.2554927809165109E-3</v>
      </c>
      <c r="CV22" s="2">
        <f>('1'!$I22-$M22)*'2'!Y22</f>
        <v>0</v>
      </c>
      <c r="CW22" s="2">
        <f>('1'!$I22-$M22)</f>
        <v>-0.66666666666666674</v>
      </c>
      <c r="CX22" s="2">
        <f>('1'!$J22-$N22)*'2'!V22</f>
        <v>0</v>
      </c>
      <c r="CY22" s="2">
        <f>('1'!$J22-$N22)*'2'!W22</f>
        <v>1.5432098765432094E-2</v>
      </c>
      <c r="CZ22" s="2">
        <f>('1'!$J22-$N22)*'2'!X22</f>
        <v>6.2774639045825534E-4</v>
      </c>
      <c r="DA22" s="2">
        <f>('1'!$J22-$N22)*'2'!Y22</f>
        <v>0</v>
      </c>
      <c r="DB22" s="2">
        <f>('1'!$J22-$N22)</f>
        <v>0.33333333333333331</v>
      </c>
      <c r="DC22" s="2">
        <f>('1'!$K22-$O22)*'2'!V22</f>
        <v>0</v>
      </c>
      <c r="DD22" s="2">
        <f>('1'!$K22-$O22)*'2'!W22</f>
        <v>1.5432098765432094E-2</v>
      </c>
      <c r="DE22" s="2">
        <f>('1'!$K22-$O22)*'2'!X22</f>
        <v>6.2774639045825534E-4</v>
      </c>
      <c r="DF22" s="2">
        <f>('1'!$K22-$O22)*'2'!Y22</f>
        <v>0</v>
      </c>
      <c r="DG22" s="2">
        <f>('1'!$K22-$O22)</f>
        <v>0.33333333333333331</v>
      </c>
    </row>
    <row r="23" spans="2:111" ht="15" x14ac:dyDescent="0.25">
      <c r="B23" s="1">
        <v>5.8</v>
      </c>
      <c r="C23" s="1">
        <v>4</v>
      </c>
      <c r="D23" s="1">
        <v>1.2</v>
      </c>
      <c r="E23" s="1">
        <v>0.2</v>
      </c>
      <c r="F23" s="1" t="s">
        <v>5</v>
      </c>
      <c r="I23" s="2">
        <f>(B23-B$5)/(B$4-B$5)</f>
        <v>0.41666666666666663</v>
      </c>
      <c r="J23" s="2">
        <f>(C23-C$5)/(C$4-C$5)</f>
        <v>0.83333333333333326</v>
      </c>
      <c r="K23" s="2">
        <f>(D23-D$5)/(D$4-D$5)</f>
        <v>3.3898305084745756E-2</v>
      </c>
      <c r="L23" s="2">
        <f>(E23-E$5)/(E$4-E$5)</f>
        <v>4.1666666666666671E-2</v>
      </c>
      <c r="M23" s="3">
        <f>IF($F23=M$8,1,0)</f>
        <v>1</v>
      </c>
      <c r="N23" s="3">
        <f>IF($F23=N$8,1,0)</f>
        <v>0</v>
      </c>
      <c r="O23" s="3">
        <f>IF($F23=O$8,1,0)</f>
        <v>0</v>
      </c>
      <c r="CD23" s="2">
        <f ca="1">CD$2*$I23+CD$3*$J23+CD$4*$K23+CD$5*$L23+CD$6</f>
        <v>0.36572289422804394</v>
      </c>
      <c r="CE23" s="2">
        <f ca="1">CE$2*$I23+CE$3*$J23+CE$4*$K23+CE$5*$L23+CE$6</f>
        <v>1.2002979791056453E-2</v>
      </c>
      <c r="CF23" s="2">
        <f ca="1">CF$2*$I23+CF$3*$J23+CF$4*$K23+CF$5*$L23+CF$6</f>
        <v>0.36919452446345458</v>
      </c>
      <c r="CG23" s="2">
        <f t="shared" ca="1" si="4"/>
        <v>1.4415557238909085</v>
      </c>
      <c r="CH23" s="2">
        <f t="shared" ca="1" si="1"/>
        <v>1.0120753046345259</v>
      </c>
      <c r="CI23" s="2">
        <f t="shared" ca="1" si="2"/>
        <v>1.4465689693602128</v>
      </c>
      <c r="CJ23" s="2">
        <f t="shared" ca="1" si="5"/>
        <v>3.9001999978856468</v>
      </c>
      <c r="CK23" s="2">
        <f ca="1">CG23/'1'!$H23</f>
        <v>0.38081336039282299</v>
      </c>
      <c r="CL23" s="2">
        <f t="shared" ca="1" si="6"/>
        <v>0.25949318116588538</v>
      </c>
      <c r="CM23" s="2">
        <f t="shared" ca="1" si="7"/>
        <v>0.37089610023701813</v>
      </c>
      <c r="CN23" s="2">
        <f ca="1">-$M23*LOG(CK23)</f>
        <v>0.41928782330464931</v>
      </c>
      <c r="CO23" s="2">
        <f ca="1">-$N23*LOG(CL23)</f>
        <v>0</v>
      </c>
      <c r="CP23" s="2">
        <f ca="1">-$O23*LOG(CM23)</f>
        <v>0</v>
      </c>
      <c r="CQ23" s="2">
        <f t="shared" ca="1" si="3"/>
        <v>0.41928782330464931</v>
      </c>
      <c r="CR23" s="2"/>
      <c r="CS23" s="2">
        <f ca="1">(CK23-'2'!Z23)*'2'!V23</f>
        <v>2.1981494009022974E-3</v>
      </c>
      <c r="CT23" s="2">
        <f>('1'!$I23-$M23)*'2'!W23</f>
        <v>-6.1728395061728399E-2</v>
      </c>
      <c r="CU23" s="2">
        <f>('1'!$I23-$M23)*'2'!X23</f>
        <v>-2.5109855618330192E-3</v>
      </c>
      <c r="CV23" s="2">
        <f>('1'!$I23-$M23)*'2'!Y23</f>
        <v>-3.0864197530864204E-3</v>
      </c>
      <c r="CW23" s="2">
        <f>('1'!$I23-$M23)</f>
        <v>-0.66666666666666663</v>
      </c>
      <c r="CX23" s="2">
        <f>('1'!$J23-$N23)*'2'!V23</f>
        <v>1.5432098765432101E-2</v>
      </c>
      <c r="CY23" s="2">
        <f>('1'!$J23-$N23)*'2'!W23</f>
        <v>3.0864197530864203E-2</v>
      </c>
      <c r="CZ23" s="2">
        <f>('1'!$J23-$N23)*'2'!X23</f>
        <v>1.2554927809165098E-3</v>
      </c>
      <c r="DA23" s="2">
        <f>('1'!$J23-$N23)*'2'!Y23</f>
        <v>1.5432098765432104E-3</v>
      </c>
      <c r="DB23" s="2">
        <f>('1'!$J23-$N23)</f>
        <v>0.33333333333333337</v>
      </c>
      <c r="DC23" s="2">
        <f>('1'!$K23-$O23)*'2'!V23</f>
        <v>1.5432098765432101E-2</v>
      </c>
      <c r="DD23" s="2">
        <f>('1'!$K23-$O23)*'2'!W23</f>
        <v>3.0864197530864203E-2</v>
      </c>
      <c r="DE23" s="2">
        <f>('1'!$K23-$O23)*'2'!X23</f>
        <v>1.2554927809165098E-3</v>
      </c>
      <c r="DF23" s="2">
        <f>('1'!$K23-$O23)*'2'!Y23</f>
        <v>1.5432098765432104E-3</v>
      </c>
      <c r="DG23" s="2">
        <f>('1'!$K23-$O23)</f>
        <v>0.33333333333333337</v>
      </c>
    </row>
    <row r="24" spans="2:111" ht="15" x14ac:dyDescent="0.25">
      <c r="B24" s="1">
        <v>5.7</v>
      </c>
      <c r="C24" s="1">
        <v>4.4000000000000004</v>
      </c>
      <c r="D24" s="1">
        <v>1.5</v>
      </c>
      <c r="E24" s="1">
        <v>0.4</v>
      </c>
      <c r="F24" s="1" t="s">
        <v>5</v>
      </c>
      <c r="I24" s="2">
        <f>(B24-B$5)/(B$4-B$5)</f>
        <v>0.38888888888888895</v>
      </c>
      <c r="J24" s="2">
        <f>(C24-C$5)/(C$4-C$5)</f>
        <v>1</v>
      </c>
      <c r="K24" s="2">
        <f>(D24-D$5)/(D$4-D$5)</f>
        <v>8.4745762711864403E-2</v>
      </c>
      <c r="L24" s="2">
        <f>(E24-E$5)/(E$4-E$5)</f>
        <v>0.12500000000000003</v>
      </c>
      <c r="M24" s="3">
        <f>IF($F24=M$8,1,0)</f>
        <v>1</v>
      </c>
      <c r="N24" s="3">
        <f>IF($F24=N$8,1,0)</f>
        <v>0</v>
      </c>
      <c r="O24" s="3">
        <f>IF($F24=O$8,1,0)</f>
        <v>0</v>
      </c>
      <c r="CD24" s="2">
        <f ca="1">CD$2*$I24+CD$3*$J24+CD$4*$K24+CD$5*$L24+CD$6</f>
        <v>0.39477012874410683</v>
      </c>
      <c r="CE24" s="2">
        <f ca="1">CE$2*$I24+CE$3*$J24+CE$4*$K24+CE$5*$L24+CE$6</f>
        <v>-3.7365864089678735E-3</v>
      </c>
      <c r="CF24" s="2">
        <f ca="1">CF$2*$I24+CF$3*$J24+CF$4*$K24+CF$5*$L24+CF$6</f>
        <v>0.43676388247736514</v>
      </c>
      <c r="CG24" s="2">
        <f t="shared" ca="1" si="4"/>
        <v>1.484043012877734</v>
      </c>
      <c r="CH24" s="2">
        <f t="shared" ca="1" si="1"/>
        <v>0.99627038594305928</v>
      </c>
      <c r="CI24" s="2">
        <f t="shared" ca="1" si="2"/>
        <v>1.5476905970403416</v>
      </c>
      <c r="CJ24" s="2">
        <f t="shared" ca="1" si="5"/>
        <v>4.0280039958611349</v>
      </c>
      <c r="CK24" s="2">
        <f ca="1">CG24/'1'!$H24</f>
        <v>0.38147665412506226</v>
      </c>
      <c r="CL24" s="2">
        <f t="shared" ca="1" si="6"/>
        <v>0.24733599742372392</v>
      </c>
      <c r="CM24" s="2">
        <f t="shared" ca="1" si="7"/>
        <v>0.38423263696625642</v>
      </c>
      <c r="CN24" s="2">
        <f ca="1">-$M24*LOG(CK24)</f>
        <v>0.41853203515313919</v>
      </c>
      <c r="CO24" s="2">
        <f ca="1">-$N24*LOG(CL24)</f>
        <v>0</v>
      </c>
      <c r="CP24" s="2">
        <f ca="1">-$O24*LOG(CM24)</f>
        <v>0</v>
      </c>
      <c r="CQ24" s="2">
        <f t="shared" ca="1" si="3"/>
        <v>0.41853203515313919</v>
      </c>
      <c r="CR24" s="2"/>
      <c r="CS24" s="2">
        <f ca="1">(CK24-'2'!Z24)*'2'!V24</f>
        <v>2.0802669477907572E-3</v>
      </c>
      <c r="CT24" s="2">
        <f>('1'!$I24-$M24)*'2'!W24</f>
        <v>-7.4074074074074084E-2</v>
      </c>
      <c r="CU24" s="2">
        <f>('1'!$I24-$M24)*'2'!X24</f>
        <v>-6.2774639045825474E-3</v>
      </c>
      <c r="CV24" s="2">
        <f>('1'!$I24-$M24)*'2'!Y24</f>
        <v>-9.2592592592592605E-3</v>
      </c>
      <c r="CW24" s="2">
        <f>('1'!$I24-$M24)</f>
        <v>-0.66666666666666674</v>
      </c>
      <c r="CX24" s="2">
        <f>('1'!$J24-$N24)*'2'!V24</f>
        <v>1.4403292181069959E-2</v>
      </c>
      <c r="CY24" s="2">
        <f>('1'!$J24-$N24)*'2'!W24</f>
        <v>3.7037037037037035E-2</v>
      </c>
      <c r="CZ24" s="2">
        <f>('1'!$J24-$N24)*'2'!X24</f>
        <v>3.1387319522912733E-3</v>
      </c>
      <c r="DA24" s="2">
        <f>('1'!$J24-$N24)*'2'!Y24</f>
        <v>4.6296296296296294E-3</v>
      </c>
      <c r="DB24" s="2">
        <f>('1'!$J24-$N24)</f>
        <v>0.33333333333333331</v>
      </c>
      <c r="DC24" s="2">
        <f>('1'!$K24-$O24)*'2'!V24</f>
        <v>1.4403292181069959E-2</v>
      </c>
      <c r="DD24" s="2">
        <f>('1'!$K24-$O24)*'2'!W24</f>
        <v>3.7037037037037035E-2</v>
      </c>
      <c r="DE24" s="2">
        <f>('1'!$K24-$O24)*'2'!X24</f>
        <v>3.1387319522912733E-3</v>
      </c>
      <c r="DF24" s="2">
        <f>('1'!$K24-$O24)*'2'!Y24</f>
        <v>4.6296296296296294E-3</v>
      </c>
      <c r="DG24" s="2">
        <f>('1'!$K24-$O24)</f>
        <v>0.33333333333333331</v>
      </c>
    </row>
    <row r="25" spans="2:111" ht="15" x14ac:dyDescent="0.25">
      <c r="B25" s="1">
        <v>5.4</v>
      </c>
      <c r="C25" s="1">
        <v>3.9</v>
      </c>
      <c r="D25" s="1">
        <v>1.3</v>
      </c>
      <c r="E25" s="1">
        <v>0.4</v>
      </c>
      <c r="F25" s="1" t="s">
        <v>5</v>
      </c>
      <c r="I25" s="2">
        <f>(B25-B$5)/(B$4-B$5)</f>
        <v>0.30555555555555564</v>
      </c>
      <c r="J25" s="2">
        <f>(C25-C$5)/(C$4-C$5)</f>
        <v>0.79166666666666652</v>
      </c>
      <c r="K25" s="2">
        <f>(D25-D$5)/(D$4-D$5)</f>
        <v>5.0847457627118647E-2</v>
      </c>
      <c r="L25" s="2">
        <f>(E25-E$5)/(E$4-E$5)</f>
        <v>0.12500000000000003</v>
      </c>
      <c r="M25" s="3">
        <f>IF($F25=M$8,1,0)</f>
        <v>1</v>
      </c>
      <c r="N25" s="3">
        <f>IF($F25=N$8,1,0)</f>
        <v>0</v>
      </c>
      <c r="O25" s="3">
        <f>IF($F25=O$8,1,0)</f>
        <v>0</v>
      </c>
      <c r="CD25" s="2">
        <f ca="1">CD$2*$I25+CD$3*$J25+CD$4*$K25+CD$5*$L25+CD$6</f>
        <v>0.33205082592833302</v>
      </c>
      <c r="CE25" s="2">
        <f ca="1">CE$2*$I25+CE$3*$J25+CE$4*$K25+CE$5*$L25+CE$6</f>
        <v>1.6829802928042661E-2</v>
      </c>
      <c r="CF25" s="2">
        <f ca="1">CF$2*$I25+CF$3*$J25+CF$4*$K25+CF$5*$L25+CF$6</f>
        <v>0.37025354031300362</v>
      </c>
      <c r="CG25" s="2">
        <f t="shared" ca="1" si="4"/>
        <v>1.393823689095163</v>
      </c>
      <c r="CH25" s="2">
        <f t="shared" ca="1" si="1"/>
        <v>1.0169722219006365</v>
      </c>
      <c r="CI25" s="2">
        <f t="shared" ca="1" si="2"/>
        <v>1.4481017202867432</v>
      </c>
      <c r="CJ25" s="2">
        <f t="shared" ca="1" si="5"/>
        <v>3.8588976312825425</v>
      </c>
      <c r="CK25" s="2">
        <f ca="1">CG25/'1'!$H25</f>
        <v>0.37014204902957948</v>
      </c>
      <c r="CL25" s="2">
        <f t="shared" ca="1" si="6"/>
        <v>0.26353956986483618</v>
      </c>
      <c r="CM25" s="2">
        <f t="shared" ca="1" si="7"/>
        <v>0.37526305661688475</v>
      </c>
      <c r="CN25" s="2">
        <f ca="1">-$M25*LOG(CK25)</f>
        <v>0.43163157520158618</v>
      </c>
      <c r="CO25" s="2">
        <f ca="1">-$N25*LOG(CL25)</f>
        <v>0</v>
      </c>
      <c r="CP25" s="2">
        <f ca="1">-$O25*LOG(CM25)</f>
        <v>0</v>
      </c>
      <c r="CQ25" s="2">
        <f t="shared" ca="1" si="3"/>
        <v>0.43163157520158618</v>
      </c>
      <c r="CR25" s="2"/>
      <c r="CS25" s="2">
        <f ca="1">(CK25-'2'!Z25)*'2'!V25</f>
        <v>1.2496786193169995E-3</v>
      </c>
      <c r="CT25" s="2">
        <f>('1'!$I25-$M25)*'2'!W25</f>
        <v>-5.8641975308641965E-2</v>
      </c>
      <c r="CU25" s="2">
        <f>('1'!$I25-$M25)*'2'!X25</f>
        <v>-3.7664783427495295E-3</v>
      </c>
      <c r="CV25" s="2">
        <f>('1'!$I25-$M25)*'2'!Y25</f>
        <v>-9.2592592592592605E-3</v>
      </c>
      <c r="CW25" s="2">
        <f>('1'!$I25-$M25)</f>
        <v>-0.66666666666666674</v>
      </c>
      <c r="CX25" s="2">
        <f>('1'!$J25-$N25)*'2'!V25</f>
        <v>1.131687242798354E-2</v>
      </c>
      <c r="CY25" s="2">
        <f>('1'!$J25-$N25)*'2'!W25</f>
        <v>2.9320987654320979E-2</v>
      </c>
      <c r="CZ25" s="2">
        <f>('1'!$J25-$N25)*'2'!X25</f>
        <v>1.8832391713747645E-3</v>
      </c>
      <c r="DA25" s="2">
        <f>('1'!$J25-$N25)*'2'!Y25</f>
        <v>4.6296296296296294E-3</v>
      </c>
      <c r="DB25" s="2">
        <f>('1'!$J25-$N25)</f>
        <v>0.33333333333333331</v>
      </c>
      <c r="DC25" s="2">
        <f>('1'!$K25-$O25)*'2'!V25</f>
        <v>1.131687242798354E-2</v>
      </c>
      <c r="DD25" s="2">
        <f>('1'!$K25-$O25)*'2'!W25</f>
        <v>2.9320987654320979E-2</v>
      </c>
      <c r="DE25" s="2">
        <f>('1'!$K25-$O25)*'2'!X25</f>
        <v>1.8832391713747645E-3</v>
      </c>
      <c r="DF25" s="2">
        <f>('1'!$K25-$O25)*'2'!Y25</f>
        <v>4.6296296296296294E-3</v>
      </c>
      <c r="DG25" s="2">
        <f>('1'!$K25-$O25)</f>
        <v>0.33333333333333331</v>
      </c>
    </row>
    <row r="26" spans="2:111" ht="15" x14ac:dyDescent="0.25">
      <c r="B26" s="1">
        <v>5.0999999999999996</v>
      </c>
      <c r="C26" s="1">
        <v>3.5</v>
      </c>
      <c r="D26" s="1">
        <v>1.4</v>
      </c>
      <c r="E26" s="1">
        <v>0.3</v>
      </c>
      <c r="F26" s="1" t="s">
        <v>5</v>
      </c>
      <c r="I26" s="2">
        <f>(B26-B$5)/(B$4-B$5)</f>
        <v>0.22222222222222213</v>
      </c>
      <c r="J26" s="2">
        <f>(C26-C$5)/(C$4-C$5)</f>
        <v>0.62499999999999989</v>
      </c>
      <c r="K26" s="2">
        <f>(D26-D$5)/(D$4-D$5)</f>
        <v>6.7796610169491511E-2</v>
      </c>
      <c r="L26" s="2">
        <f>(E26-E$5)/(E$4-E$5)</f>
        <v>8.3333333333333329E-2</v>
      </c>
      <c r="M26" s="3">
        <f>IF($F26=M$8,1,0)</f>
        <v>1</v>
      </c>
      <c r="N26" s="3">
        <f>IF($F26=N$8,1,0)</f>
        <v>0</v>
      </c>
      <c r="O26" s="3">
        <f>IF($F26=O$8,1,0)</f>
        <v>0</v>
      </c>
      <c r="CD26" s="2">
        <f ca="1">CD$2*$I26+CD$3*$J26+CD$4*$K26+CD$5*$L26+CD$6</f>
        <v>0.27998114798452423</v>
      </c>
      <c r="CE26" s="2">
        <f ca="1">CE$2*$I26+CE$3*$J26+CE$4*$K26+CE$5*$L26+CE$6</f>
        <v>3.5959615597105546E-2</v>
      </c>
      <c r="CF26" s="2">
        <f ca="1">CF$2*$I26+CF$3*$J26+CF$4*$K26+CF$5*$L26+CF$6</f>
        <v>0.31192860484452617</v>
      </c>
      <c r="CG26" s="2">
        <f t="shared" ca="1" si="4"/>
        <v>1.323104868908856</v>
      </c>
      <c r="CH26" s="2">
        <f t="shared" ca="1" si="1"/>
        <v>1.0366139826088858</v>
      </c>
      <c r="CI26" s="2">
        <f t="shared" ca="1" si="2"/>
        <v>1.3660571596845152</v>
      </c>
      <c r="CJ26" s="2">
        <f t="shared" ca="1" si="5"/>
        <v>3.7257760112022567</v>
      </c>
      <c r="CK26" s="2">
        <f ca="1">CG26/'1'!$H26</f>
        <v>0.36114838827391876</v>
      </c>
      <c r="CL26" s="2">
        <f t="shared" ca="1" si="6"/>
        <v>0.27822767109244034</v>
      </c>
      <c r="CM26" s="2">
        <f t="shared" ca="1" si="7"/>
        <v>0.3666503717822015</v>
      </c>
      <c r="CN26" s="2">
        <f ca="1">-$M26*LOG(CK26)</f>
        <v>0.44231431896042583</v>
      </c>
      <c r="CO26" s="2">
        <f ca="1">-$N26*LOG(CL26)</f>
        <v>0</v>
      </c>
      <c r="CP26" s="2">
        <f ca="1">-$O26*LOG(CM26)</f>
        <v>0</v>
      </c>
      <c r="CQ26" s="2">
        <f t="shared" ca="1" si="3"/>
        <v>0.44231431896042583</v>
      </c>
      <c r="CR26" s="2"/>
      <c r="CS26" s="2">
        <f ca="1">(CK26-'2'!Z26)*'2'!V26</f>
        <v>6.8679148001445523E-4</v>
      </c>
      <c r="CT26" s="2">
        <f>('1'!$I26-$M26)*'2'!W26</f>
        <v>-4.6296296296296287E-2</v>
      </c>
      <c r="CU26" s="2">
        <f>('1'!$I26-$M26)*'2'!X26</f>
        <v>-5.0219711236660376E-3</v>
      </c>
      <c r="CV26" s="2">
        <f>('1'!$I26-$M26)*'2'!Y26</f>
        <v>-6.17283950617284E-3</v>
      </c>
      <c r="CW26" s="2">
        <f>('1'!$I26-$M26)</f>
        <v>-0.66666666666666674</v>
      </c>
      <c r="CX26" s="2">
        <f>('1'!$J26-$N26)*'2'!V26</f>
        <v>8.2304526748971148E-3</v>
      </c>
      <c r="CY26" s="2">
        <f>('1'!$J26-$N26)*'2'!W26</f>
        <v>2.314814814814814E-2</v>
      </c>
      <c r="CZ26" s="2">
        <f>('1'!$J26-$N26)*'2'!X26</f>
        <v>2.5109855618330183E-3</v>
      </c>
      <c r="DA26" s="2">
        <f>('1'!$J26-$N26)*'2'!Y26</f>
        <v>3.0864197530864196E-3</v>
      </c>
      <c r="DB26" s="2">
        <f>('1'!$J26-$N26)</f>
        <v>0.33333333333333331</v>
      </c>
      <c r="DC26" s="2">
        <f>('1'!$K26-$O26)*'2'!V26</f>
        <v>8.2304526748971148E-3</v>
      </c>
      <c r="DD26" s="2">
        <f>('1'!$K26-$O26)*'2'!W26</f>
        <v>2.314814814814814E-2</v>
      </c>
      <c r="DE26" s="2">
        <f>('1'!$K26-$O26)*'2'!X26</f>
        <v>2.5109855618330183E-3</v>
      </c>
      <c r="DF26" s="2">
        <f>('1'!$K26-$O26)*'2'!Y26</f>
        <v>3.0864197530864196E-3</v>
      </c>
      <c r="DG26" s="2">
        <f>('1'!$K26-$O26)</f>
        <v>0.33333333333333331</v>
      </c>
    </row>
    <row r="27" spans="2:111" ht="15" x14ac:dyDescent="0.25">
      <c r="B27" s="1">
        <v>5.7</v>
      </c>
      <c r="C27" s="1">
        <v>3.8</v>
      </c>
      <c r="D27" s="1">
        <v>1.7</v>
      </c>
      <c r="E27" s="1">
        <v>0.3</v>
      </c>
      <c r="F27" s="1" t="s">
        <v>5</v>
      </c>
      <c r="I27" s="2">
        <f>(B27-B$5)/(B$4-B$5)</f>
        <v>0.38888888888888895</v>
      </c>
      <c r="J27" s="2">
        <f>(C27-C$5)/(C$4-C$5)</f>
        <v>0.74999999999999978</v>
      </c>
      <c r="K27" s="2">
        <f>(D27-D$5)/(D$4-D$5)</f>
        <v>0.11864406779661016</v>
      </c>
      <c r="L27" s="2">
        <f>(E27-E$5)/(E$4-E$5)</f>
        <v>8.3333333333333329E-2</v>
      </c>
      <c r="M27" s="3">
        <f>IF($F27=M$8,1,0)</f>
        <v>1</v>
      </c>
      <c r="N27" s="3">
        <f>IF($F27=N$8,1,0)</f>
        <v>0</v>
      </c>
      <c r="O27" s="3">
        <f>IF($F27=O$8,1,0)</f>
        <v>0</v>
      </c>
      <c r="CD27" s="2">
        <f ca="1">CD$2*$I27+CD$3*$J27+CD$4*$K27+CD$5*$L27+CD$6</f>
        <v>0.33148973515287716</v>
      </c>
      <c r="CE27" s="2">
        <f ca="1">CE$2*$I27+CE$3*$J27+CE$4*$K27+CE$5*$L27+CE$6</f>
        <v>2.0002796532915382E-2</v>
      </c>
      <c r="CF27" s="2">
        <f ca="1">CF$2*$I27+CF$3*$J27+CF$4*$K27+CF$5*$L27+CF$6</f>
        <v>0.40040386305997899</v>
      </c>
      <c r="CG27" s="2">
        <f t="shared" ca="1" si="4"/>
        <v>1.3930418468433494</v>
      </c>
      <c r="CH27" s="2">
        <f t="shared" ca="1" si="1"/>
        <v>1.0202041930573729</v>
      </c>
      <c r="CI27" s="2">
        <f t="shared" ca="1" si="2"/>
        <v>1.4924273122073024</v>
      </c>
      <c r="CJ27" s="2">
        <f t="shared" ca="1" si="5"/>
        <v>3.9056733521080247</v>
      </c>
      <c r="CK27" s="2">
        <f ca="1">CG27/'1'!$H27</f>
        <v>0.36743487661678248</v>
      </c>
      <c r="CL27" s="2">
        <f t="shared" ca="1" si="6"/>
        <v>0.26121083385192312</v>
      </c>
      <c r="CM27" s="2">
        <f t="shared" ca="1" si="7"/>
        <v>0.3821178008657044</v>
      </c>
      <c r="CN27" s="2">
        <f ca="1">-$M27*LOG(CK27)</f>
        <v>0.43481962319804901</v>
      </c>
      <c r="CO27" s="2">
        <f ca="1">-$N27*LOG(CL27)</f>
        <v>0</v>
      </c>
      <c r="CP27" s="2">
        <f ca="1">-$O27*LOG(CM27)</f>
        <v>0</v>
      </c>
      <c r="CQ27" s="2">
        <f t="shared" ca="1" si="3"/>
        <v>0.43481962319804901</v>
      </c>
      <c r="CR27" s="2"/>
      <c r="CS27" s="2">
        <f ca="1">(CK27-'2'!Z27)*'2'!V27</f>
        <v>1.4735234752107646E-3</v>
      </c>
      <c r="CT27" s="2">
        <f>('1'!$I27-$M27)*'2'!W27</f>
        <v>-5.5555555555555552E-2</v>
      </c>
      <c r="CU27" s="2">
        <f>('1'!$I27-$M27)*'2'!X27</f>
        <v>-8.7884494664155696E-3</v>
      </c>
      <c r="CV27" s="2">
        <f>('1'!$I27-$M27)*'2'!Y27</f>
        <v>-6.17283950617284E-3</v>
      </c>
      <c r="CW27" s="2">
        <f>('1'!$I27-$M27)</f>
        <v>-0.66666666666666663</v>
      </c>
      <c r="CX27" s="2">
        <f>('1'!$J27-$N27)*'2'!V27</f>
        <v>1.4403292181069966E-2</v>
      </c>
      <c r="CY27" s="2">
        <f>('1'!$J27-$N27)*'2'!W27</f>
        <v>2.777777777777778E-2</v>
      </c>
      <c r="CZ27" s="2">
        <f>('1'!$J27-$N27)*'2'!X27</f>
        <v>4.3942247332077857E-3</v>
      </c>
      <c r="DA27" s="2">
        <f>('1'!$J27-$N27)*'2'!Y27</f>
        <v>3.0864197530864204E-3</v>
      </c>
      <c r="DB27" s="2">
        <f>('1'!$J27-$N27)</f>
        <v>0.33333333333333337</v>
      </c>
      <c r="DC27" s="2">
        <f>('1'!$K27-$O27)*'2'!V27</f>
        <v>1.4403292181069966E-2</v>
      </c>
      <c r="DD27" s="2">
        <f>('1'!$K27-$O27)*'2'!W27</f>
        <v>2.777777777777778E-2</v>
      </c>
      <c r="DE27" s="2">
        <f>('1'!$K27-$O27)*'2'!X27</f>
        <v>4.3942247332077857E-3</v>
      </c>
      <c r="DF27" s="2">
        <f>('1'!$K27-$O27)*'2'!Y27</f>
        <v>3.0864197530864204E-3</v>
      </c>
      <c r="DG27" s="2">
        <f>('1'!$K27-$O27)</f>
        <v>0.33333333333333337</v>
      </c>
    </row>
    <row r="28" spans="2:111" ht="15" x14ac:dyDescent="0.25">
      <c r="B28" s="1">
        <v>5.0999999999999996</v>
      </c>
      <c r="C28" s="1">
        <v>3.8</v>
      </c>
      <c r="D28" s="1">
        <v>1.5</v>
      </c>
      <c r="E28" s="1">
        <v>0.3</v>
      </c>
      <c r="F28" s="1" t="s">
        <v>5</v>
      </c>
      <c r="I28" s="2">
        <f>(B28-B$5)/(B$4-B$5)</f>
        <v>0.22222222222222213</v>
      </c>
      <c r="J28" s="2">
        <f>(C28-C$5)/(C$4-C$5)</f>
        <v>0.74999999999999978</v>
      </c>
      <c r="K28" s="2">
        <f>(D28-D$5)/(D$4-D$5)</f>
        <v>8.4745762711864403E-2</v>
      </c>
      <c r="L28" s="2">
        <f>(E28-E$5)/(E$4-E$5)</f>
        <v>8.3333333333333329E-2</v>
      </c>
      <c r="M28" s="3">
        <f>IF($F28=M$8,1,0)</f>
        <v>1</v>
      </c>
      <c r="N28" s="3">
        <f>IF($F28=N$8,1,0)</f>
        <v>0</v>
      </c>
      <c r="O28" s="3">
        <f>IF($F28=O$8,1,0)</f>
        <v>0</v>
      </c>
      <c r="CD28" s="2">
        <f ca="1">CD$2*$I28+CD$3*$J28+CD$4*$K28+CD$5*$L28+CD$6</f>
        <v>0.31101757134023228</v>
      </c>
      <c r="CE28" s="2">
        <f ca="1">CE$2*$I28+CE$3*$J28+CE$4*$K28+CE$5*$L28+CE$6</f>
        <v>2.5310284448170808E-2</v>
      </c>
      <c r="CF28" s="2">
        <f ca="1">CF$2*$I28+CF$3*$J28+CF$4*$K28+CF$5*$L28+CF$6</f>
        <v>0.33484099760438657</v>
      </c>
      <c r="CG28" s="2">
        <f t="shared" ca="1" si="4"/>
        <v>1.3648132025726041</v>
      </c>
      <c r="CH28" s="2">
        <f t="shared" ca="1" si="1"/>
        <v>1.0256333092227514</v>
      </c>
      <c r="CI28" s="2">
        <f t="shared" ca="1" si="2"/>
        <v>1.3977181270225532</v>
      </c>
      <c r="CJ28" s="2">
        <f t="shared" ca="1" si="5"/>
        <v>3.7881646388179084</v>
      </c>
      <c r="CK28" s="2">
        <f ca="1">CG28/'1'!$H28</f>
        <v>0.36728217793518991</v>
      </c>
      <c r="CL28" s="2">
        <f t="shared" ca="1" si="6"/>
        <v>0.27074676182574758</v>
      </c>
      <c r="CM28" s="2">
        <f t="shared" ca="1" si="7"/>
        <v>0.36896974136232613</v>
      </c>
      <c r="CN28" s="2">
        <f ca="1">-$M28*LOG(CK28)</f>
        <v>0.4350001449250282</v>
      </c>
      <c r="CO28" s="2">
        <f ca="1">-$N28*LOG(CL28)</f>
        <v>0</v>
      </c>
      <c r="CP28" s="2">
        <f ca="1">-$O28*LOG(CM28)</f>
        <v>0</v>
      </c>
      <c r="CQ28" s="2">
        <f t="shared" ca="1" si="3"/>
        <v>0.4350001449250282</v>
      </c>
      <c r="CR28" s="2"/>
      <c r="CS28" s="2">
        <f ca="1">(CK28-'2'!Z28)*'2'!V28</f>
        <v>8.3824307658905022E-4</v>
      </c>
      <c r="CT28" s="2">
        <f>('1'!$I28-$M28)*'2'!W28</f>
        <v>-5.5555555555555552E-2</v>
      </c>
      <c r="CU28" s="2">
        <f>('1'!$I28-$M28)*'2'!X28</f>
        <v>-6.27746390458255E-3</v>
      </c>
      <c r="CV28" s="2">
        <f>('1'!$I28-$M28)*'2'!Y28</f>
        <v>-6.17283950617284E-3</v>
      </c>
      <c r="CW28" s="2">
        <f>('1'!$I28-$M28)</f>
        <v>-0.66666666666666663</v>
      </c>
      <c r="CX28" s="2">
        <f>('1'!$J28-$N28)*'2'!V28</f>
        <v>8.2304526748971183E-3</v>
      </c>
      <c r="CY28" s="2">
        <f>('1'!$J28-$N28)*'2'!W28</f>
        <v>2.777777777777778E-2</v>
      </c>
      <c r="CZ28" s="2">
        <f>('1'!$J28-$N28)*'2'!X28</f>
        <v>3.1387319522912754E-3</v>
      </c>
      <c r="DA28" s="2">
        <f>('1'!$J28-$N28)*'2'!Y28</f>
        <v>3.0864197530864204E-3</v>
      </c>
      <c r="DB28" s="2">
        <f>('1'!$J28-$N28)</f>
        <v>0.33333333333333337</v>
      </c>
      <c r="DC28" s="2">
        <f>('1'!$K28-$O28)*'2'!V28</f>
        <v>8.2304526748971183E-3</v>
      </c>
      <c r="DD28" s="2">
        <f>('1'!$K28-$O28)*'2'!W28</f>
        <v>2.777777777777778E-2</v>
      </c>
      <c r="DE28" s="2">
        <f>('1'!$K28-$O28)*'2'!X28</f>
        <v>3.1387319522912754E-3</v>
      </c>
      <c r="DF28" s="2">
        <f>('1'!$K28-$O28)*'2'!Y28</f>
        <v>3.0864197530864204E-3</v>
      </c>
      <c r="DG28" s="2">
        <f>('1'!$K28-$O28)</f>
        <v>0.33333333333333337</v>
      </c>
    </row>
    <row r="29" spans="2:111" ht="15" x14ac:dyDescent="0.25">
      <c r="B29" s="1">
        <v>5.4</v>
      </c>
      <c r="C29" s="1">
        <v>3.4</v>
      </c>
      <c r="D29" s="1">
        <v>1.7</v>
      </c>
      <c r="E29" s="1">
        <v>0.2</v>
      </c>
      <c r="F29" s="1" t="s">
        <v>5</v>
      </c>
      <c r="I29" s="2">
        <f>(B29-B$5)/(B$4-B$5)</f>
        <v>0.30555555555555564</v>
      </c>
      <c r="J29" s="2">
        <f>(C29-C$5)/(C$4-C$5)</f>
        <v>0.58333333333333326</v>
      </c>
      <c r="K29" s="2">
        <f>(D29-D$5)/(D$4-D$5)</f>
        <v>0.11864406779661016</v>
      </c>
      <c r="L29" s="2">
        <f>(E29-E$5)/(E$4-E$5)</f>
        <v>4.1666666666666671E-2</v>
      </c>
      <c r="M29" s="3">
        <f>IF($F29=M$8,1,0)</f>
        <v>1</v>
      </c>
      <c r="N29" s="3">
        <f>IF($F29=N$8,1,0)</f>
        <v>0</v>
      </c>
      <c r="O29" s="3">
        <f>IF($F29=O$8,1,0)</f>
        <v>0</v>
      </c>
      <c r="CD29" s="2">
        <f ca="1">CD$2*$I29+CD$3*$J29+CD$4*$K29+CD$5*$L29+CD$6</f>
        <v>0.28055383018397512</v>
      </c>
      <c r="CE29" s="2">
        <f ca="1">CE$2*$I29+CE$3*$J29+CE$4*$K29+CE$5*$L29+CE$6</f>
        <v>3.8886969005240905E-2</v>
      </c>
      <c r="CF29" s="2">
        <f ca="1">CF$2*$I29+CF$3*$J29+CF$4*$K29+CF$5*$L29+CF$6</f>
        <v>0.33539130984669852</v>
      </c>
      <c r="CG29" s="2">
        <f t="shared" ca="1" si="4"/>
        <v>1.3238628045226895</v>
      </c>
      <c r="CH29" s="2">
        <f t="shared" ca="1" si="1"/>
        <v>1.0396529639998764</v>
      </c>
      <c r="CI29" s="2">
        <f t="shared" ca="1" si="2"/>
        <v>1.3984875201029536</v>
      </c>
      <c r="CJ29" s="2">
        <f t="shared" ca="1" si="5"/>
        <v>3.7620032886255199</v>
      </c>
      <c r="CK29" s="2">
        <f ca="1">CG29/'1'!$H29</f>
        <v>0.35952253452634153</v>
      </c>
      <c r="CL29" s="2">
        <f t="shared" ca="1" si="6"/>
        <v>0.27635620817857459</v>
      </c>
      <c r="CM29" s="2">
        <f t="shared" ca="1" si="7"/>
        <v>0.37174011100184418</v>
      </c>
      <c r="CN29" s="2">
        <f ca="1">-$M29*LOG(CK29)</f>
        <v>0.44427388326794687</v>
      </c>
      <c r="CO29" s="2">
        <f ca="1">-$N29*LOG(CL29)</f>
        <v>0</v>
      </c>
      <c r="CP29" s="2">
        <f ca="1">-$O29*LOG(CM29)</f>
        <v>0</v>
      </c>
      <c r="CQ29" s="2">
        <f t="shared" ca="1" si="3"/>
        <v>0.44427388326794687</v>
      </c>
      <c r="CR29" s="2"/>
      <c r="CS29" s="2">
        <f ca="1">(CK29-'2'!Z29)*'2'!V29</f>
        <v>8.8913954667620501E-4</v>
      </c>
      <c r="CT29" s="2">
        <f>('1'!$I29-$M29)*'2'!W29</f>
        <v>-4.3209876543209867E-2</v>
      </c>
      <c r="CU29" s="2">
        <f>('1'!$I29-$M29)*'2'!X29</f>
        <v>-8.7884494664155679E-3</v>
      </c>
      <c r="CV29" s="2">
        <f>('1'!$I29-$M29)*'2'!Y29</f>
        <v>-3.08641975308642E-3</v>
      </c>
      <c r="CW29" s="2">
        <f>('1'!$I29-$M29)</f>
        <v>-0.66666666666666674</v>
      </c>
      <c r="CX29" s="2">
        <f>('1'!$J29-$N29)*'2'!V29</f>
        <v>1.131687242798354E-2</v>
      </c>
      <c r="CY29" s="2">
        <f>('1'!$J29-$N29)*'2'!W29</f>
        <v>2.160493827160493E-2</v>
      </c>
      <c r="CZ29" s="2">
        <f>('1'!$J29-$N29)*'2'!X29</f>
        <v>4.3942247332077831E-3</v>
      </c>
      <c r="DA29" s="2">
        <f>('1'!$J29-$N29)*'2'!Y29</f>
        <v>1.5432098765432098E-3</v>
      </c>
      <c r="DB29" s="2">
        <f>('1'!$J29-$N29)</f>
        <v>0.33333333333333331</v>
      </c>
      <c r="DC29" s="2">
        <f>('1'!$K29-$O29)*'2'!V29</f>
        <v>1.131687242798354E-2</v>
      </c>
      <c r="DD29" s="2">
        <f>('1'!$K29-$O29)*'2'!W29</f>
        <v>2.160493827160493E-2</v>
      </c>
      <c r="DE29" s="2">
        <f>('1'!$K29-$O29)*'2'!X29</f>
        <v>4.3942247332077831E-3</v>
      </c>
      <c r="DF29" s="2">
        <f>('1'!$K29-$O29)*'2'!Y29</f>
        <v>1.5432098765432098E-3</v>
      </c>
      <c r="DG29" s="2">
        <f>('1'!$K29-$O29)</f>
        <v>0.33333333333333331</v>
      </c>
    </row>
    <row r="30" spans="2:111" ht="15" x14ac:dyDescent="0.25">
      <c r="B30" s="1">
        <v>5.0999999999999996</v>
      </c>
      <c r="C30" s="1">
        <v>3.7</v>
      </c>
      <c r="D30" s="1">
        <v>1.5</v>
      </c>
      <c r="E30" s="1">
        <v>0.4</v>
      </c>
      <c r="F30" s="1" t="s">
        <v>5</v>
      </c>
      <c r="I30" s="2">
        <f>(B30-B$5)/(B$4-B$5)</f>
        <v>0.22222222222222213</v>
      </c>
      <c r="J30" s="2">
        <f>(C30-C$5)/(C$4-C$5)</f>
        <v>0.70833333333333326</v>
      </c>
      <c r="K30" s="2">
        <f>(D30-D$5)/(D$4-D$5)</f>
        <v>8.4745762711864403E-2</v>
      </c>
      <c r="L30" s="2">
        <f>(E30-E$5)/(E$4-E$5)</f>
        <v>0.12500000000000003</v>
      </c>
      <c r="M30" s="3">
        <f>IF($F30=M$8,1,0)</f>
        <v>1</v>
      </c>
      <c r="N30" s="3">
        <f>IF($F30=N$8,1,0)</f>
        <v>0</v>
      </c>
      <c r="O30" s="3">
        <f>IF($F30=O$8,1,0)</f>
        <v>0</v>
      </c>
      <c r="CD30" s="2">
        <f ca="1">CD$2*$I30+CD$3*$J30+CD$4*$K30+CD$5*$L30+CD$6</f>
        <v>0.29696662754354725</v>
      </c>
      <c r="CE30" s="2">
        <f ca="1">CE$2*$I30+CE$3*$J30+CE$4*$K30+CE$5*$L30+CE$6</f>
        <v>2.7483781706330521E-2</v>
      </c>
      <c r="CF30" s="2">
        <f ca="1">CF$2*$I30+CF$3*$J30+CF$4*$K30+CF$5*$L30+CF$6</f>
        <v>0.34671844414291203</v>
      </c>
      <c r="CG30" s="2">
        <f t="shared" ca="1" si="4"/>
        <v>1.3457703870350461</v>
      </c>
      <c r="CH30" s="2">
        <f t="shared" ca="1" si="1"/>
        <v>1.027864944756544</v>
      </c>
      <c r="CI30" s="2">
        <f t="shared" ca="1" si="2"/>
        <v>1.4144184315083106</v>
      </c>
      <c r="CJ30" s="2">
        <f t="shared" ca="1" si="5"/>
        <v>3.7880537632999003</v>
      </c>
      <c r="CK30" s="2">
        <f ca="1">CG30/'1'!$H30</f>
        <v>0.36215760356012611</v>
      </c>
      <c r="CL30" s="2">
        <f t="shared" ca="1" si="6"/>
        <v>0.271343811092358</v>
      </c>
      <c r="CM30" s="2">
        <f t="shared" ca="1" si="7"/>
        <v>0.37338921775919132</v>
      </c>
      <c r="CN30" s="2">
        <f ca="1">-$M30*LOG(CK30)</f>
        <v>0.44110239228146125</v>
      </c>
      <c r="CO30" s="2">
        <f ca="1">-$N30*LOG(CL30)</f>
        <v>0</v>
      </c>
      <c r="CP30" s="2">
        <f ca="1">-$O30*LOG(CM30)</f>
        <v>0</v>
      </c>
      <c r="CQ30" s="2">
        <f t="shared" ca="1" si="3"/>
        <v>0.44110239228146125</v>
      </c>
      <c r="CR30" s="2"/>
      <c r="CS30" s="2">
        <f ca="1">(CK30-'2'!Z30)*'2'!V30</f>
        <v>7.1171037597019091E-4</v>
      </c>
      <c r="CT30" s="2">
        <f>('1'!$I30-$M30)*'2'!W30</f>
        <v>-5.2469135802469133E-2</v>
      </c>
      <c r="CU30" s="2">
        <f>('1'!$I30-$M30)*'2'!X30</f>
        <v>-6.27746390458255E-3</v>
      </c>
      <c r="CV30" s="2">
        <f>('1'!$I30-$M30)*'2'!Y30</f>
        <v>-9.2592592592592622E-3</v>
      </c>
      <c r="CW30" s="2">
        <f>('1'!$I30-$M30)</f>
        <v>-0.66666666666666663</v>
      </c>
      <c r="CX30" s="2">
        <f>('1'!$J30-$N30)*'2'!V30</f>
        <v>8.2304526748971183E-3</v>
      </c>
      <c r="CY30" s="2">
        <f>('1'!$J30-$N30)*'2'!W30</f>
        <v>2.6234567901234573E-2</v>
      </c>
      <c r="CZ30" s="2">
        <f>('1'!$J30-$N30)*'2'!X30</f>
        <v>3.1387319522912754E-3</v>
      </c>
      <c r="DA30" s="2">
        <f>('1'!$J30-$N30)*'2'!Y30</f>
        <v>4.629629629629632E-3</v>
      </c>
      <c r="DB30" s="2">
        <f>('1'!$J30-$N30)</f>
        <v>0.33333333333333337</v>
      </c>
      <c r="DC30" s="2">
        <f>('1'!$K30-$O30)*'2'!V30</f>
        <v>8.2304526748971183E-3</v>
      </c>
      <c r="DD30" s="2">
        <f>('1'!$K30-$O30)*'2'!W30</f>
        <v>2.6234567901234573E-2</v>
      </c>
      <c r="DE30" s="2">
        <f>('1'!$K30-$O30)*'2'!X30</f>
        <v>3.1387319522912754E-3</v>
      </c>
      <c r="DF30" s="2">
        <f>('1'!$K30-$O30)*'2'!Y30</f>
        <v>4.629629629629632E-3</v>
      </c>
      <c r="DG30" s="2">
        <f>('1'!$K30-$O30)</f>
        <v>0.33333333333333337</v>
      </c>
    </row>
    <row r="31" spans="2:111" ht="15" x14ac:dyDescent="0.25">
      <c r="B31" s="1">
        <v>4.5999999999999996</v>
      </c>
      <c r="C31" s="1">
        <v>3.6</v>
      </c>
      <c r="D31" s="1">
        <v>1</v>
      </c>
      <c r="E31" s="1">
        <v>0.2</v>
      </c>
      <c r="F31" s="1" t="s">
        <v>5</v>
      </c>
      <c r="I31" s="2">
        <f>(B31-B$5)/(B$4-B$5)</f>
        <v>8.3333333333333273E-2</v>
      </c>
      <c r="J31" s="2">
        <f>(C31-C$5)/(C$4-C$5)</f>
        <v>0.66666666666666663</v>
      </c>
      <c r="K31" s="2">
        <f>(D31-D$5)/(D$4-D$5)</f>
        <v>0</v>
      </c>
      <c r="L31" s="2">
        <f>(E31-E$5)/(E$4-E$5)</f>
        <v>4.1666666666666671E-2</v>
      </c>
      <c r="M31" s="3">
        <f>IF($F31=M$8,1,0)</f>
        <v>1</v>
      </c>
      <c r="N31" s="3">
        <f>IF($F31=N$8,1,0)</f>
        <v>0</v>
      </c>
      <c r="O31" s="3">
        <f>IF($F31=O$8,1,0)</f>
        <v>0</v>
      </c>
      <c r="CD31" s="2">
        <f ca="1">CD$2*$I31+CD$3*$J31+CD$4*$K31+CD$5*$L31+CD$6</f>
        <v>0.27961742554545427</v>
      </c>
      <c r="CE31" s="2">
        <f ca="1">CE$2*$I31+CE$3*$J31+CE$4*$K31+CE$5*$L31+CE$6</f>
        <v>3.7635864475938155E-2</v>
      </c>
      <c r="CF31" s="2">
        <f ca="1">CF$2*$I31+CF$3*$J31+CF$4*$K31+CF$5*$L31+CF$6</f>
        <v>0.22981099568846647</v>
      </c>
      <c r="CG31" s="2">
        <f t="shared" ca="1" si="4"/>
        <v>1.3226237134876073</v>
      </c>
      <c r="CH31" s="2">
        <f t="shared" ca="1" si="1"/>
        <v>1.0383530627934139</v>
      </c>
      <c r="CI31" s="2">
        <f t="shared" ca="1" si="2"/>
        <v>1.2583621515799399</v>
      </c>
      <c r="CJ31" s="2">
        <f t="shared" ca="1" si="5"/>
        <v>3.6193389278609613</v>
      </c>
      <c r="CK31" s="2">
        <f ca="1">CG31/'1'!$H31</f>
        <v>0.36855639865756812</v>
      </c>
      <c r="CL31" s="2">
        <f t="shared" ca="1" si="6"/>
        <v>0.28689025357652348</v>
      </c>
      <c r="CM31" s="2">
        <f t="shared" ca="1" si="7"/>
        <v>0.34767734568689185</v>
      </c>
      <c r="CN31" s="2">
        <f ca="1">-$M31*LOG(CK31)</f>
        <v>0.43349604443561091</v>
      </c>
      <c r="CO31" s="2">
        <f ca="1">-$N31*LOG(CL31)</f>
        <v>0</v>
      </c>
      <c r="CP31" s="2">
        <f ca="1">-$O31*LOG(CM31)</f>
        <v>0</v>
      </c>
      <c r="CQ31" s="2">
        <f t="shared" ca="1" si="3"/>
        <v>0.43349604443561091</v>
      </c>
      <c r="CR31" s="2"/>
      <c r="CS31" s="2">
        <f ca="1">(CK31-'2'!Z31)*'2'!V31</f>
        <v>3.2613949374291458E-4</v>
      </c>
      <c r="CT31" s="2">
        <f>('1'!$I31-$M31)*'2'!W31</f>
        <v>-4.938271604938272E-2</v>
      </c>
      <c r="CU31" s="2">
        <f>('1'!$I31-$M31)*'2'!X31</f>
        <v>0</v>
      </c>
      <c r="CV31" s="2">
        <f>('1'!$I31-$M31)*'2'!Y31</f>
        <v>-3.08641975308642E-3</v>
      </c>
      <c r="CW31" s="2">
        <f>('1'!$I31-$M31)</f>
        <v>-0.66666666666666674</v>
      </c>
      <c r="CX31" s="2">
        <f>('1'!$J31-$N31)*'2'!V31</f>
        <v>3.086419753086417E-3</v>
      </c>
      <c r="CY31" s="2">
        <f>('1'!$J31-$N31)*'2'!W31</f>
        <v>2.4691358024691357E-2</v>
      </c>
      <c r="CZ31" s="2">
        <f>('1'!$J31-$N31)*'2'!X31</f>
        <v>0</v>
      </c>
      <c r="DA31" s="2">
        <f>('1'!$J31-$N31)*'2'!Y31</f>
        <v>1.5432098765432098E-3</v>
      </c>
      <c r="DB31" s="2">
        <f>('1'!$J31-$N31)</f>
        <v>0.33333333333333331</v>
      </c>
      <c r="DC31" s="2">
        <f>('1'!$K31-$O31)*'2'!V31</f>
        <v>3.086419753086417E-3</v>
      </c>
      <c r="DD31" s="2">
        <f>('1'!$K31-$O31)*'2'!W31</f>
        <v>2.4691358024691357E-2</v>
      </c>
      <c r="DE31" s="2">
        <f>('1'!$K31-$O31)*'2'!X31</f>
        <v>0</v>
      </c>
      <c r="DF31" s="2">
        <f>('1'!$K31-$O31)*'2'!Y31</f>
        <v>1.5432098765432098E-3</v>
      </c>
      <c r="DG31" s="2">
        <f>('1'!$K31-$O31)</f>
        <v>0.33333333333333331</v>
      </c>
    </row>
    <row r="32" spans="2:111" ht="15" x14ac:dyDescent="0.25">
      <c r="B32" s="1">
        <v>5.0999999999999996</v>
      </c>
      <c r="C32" s="1">
        <v>3.3</v>
      </c>
      <c r="D32" s="1">
        <v>1.7</v>
      </c>
      <c r="E32" s="1">
        <v>0.5</v>
      </c>
      <c r="F32" s="1" t="s">
        <v>5</v>
      </c>
      <c r="I32" s="2">
        <f>(B32-B$5)/(B$4-B$5)</f>
        <v>0.22222222222222213</v>
      </c>
      <c r="J32" s="2">
        <f>(C32-C$5)/(C$4-C$5)</f>
        <v>0.54166666666666652</v>
      </c>
      <c r="K32" s="2">
        <f>(D32-D$5)/(D$4-D$5)</f>
        <v>0.11864406779661016</v>
      </c>
      <c r="L32" s="2">
        <f>(E32-E$5)/(E$4-E$5)</f>
        <v>0.16666666666666669</v>
      </c>
      <c r="M32" s="3">
        <f>IF($F32=M$8,1,0)</f>
        <v>1</v>
      </c>
      <c r="N32" s="3">
        <f>IF($F32=N$8,1,0)</f>
        <v>0</v>
      </c>
      <c r="O32" s="3">
        <f>IF($F32=O$8,1,0)</f>
        <v>0</v>
      </c>
      <c r="CD32" s="2">
        <f ca="1">CD$2*$I32+CD$3*$J32+CD$4*$K32+CD$5*$L32+CD$6</f>
        <v>0.24847794146643382</v>
      </c>
      <c r="CE32" s="2">
        <f ca="1">CE$2*$I32+CE$3*$J32+CE$4*$K32+CE$5*$L32+CE$6</f>
        <v>4.1043530703637074E-2</v>
      </c>
      <c r="CF32" s="2">
        <f ca="1">CF$2*$I32+CF$3*$J32+CF$4*$K32+CF$5*$L32+CF$6</f>
        <v>0.35574635115598646</v>
      </c>
      <c r="CG32" s="2">
        <f t="shared" ca="1" si="4"/>
        <v>1.2820725414172041</v>
      </c>
      <c r="CH32" s="2">
        <f t="shared" ca="1" si="1"/>
        <v>1.0418974590878483</v>
      </c>
      <c r="CI32" s="2">
        <f t="shared" ca="1" si="2"/>
        <v>1.4272454831801589</v>
      </c>
      <c r="CJ32" s="2">
        <f t="shared" ca="1" si="5"/>
        <v>3.7512154836852112</v>
      </c>
      <c r="CK32" s="2">
        <f ca="1">CG32/'1'!$H32</f>
        <v>0.34817351765021309</v>
      </c>
      <c r="CL32" s="2">
        <f t="shared" ca="1" si="6"/>
        <v>0.27774929582671787</v>
      </c>
      <c r="CM32" s="2">
        <f t="shared" ca="1" si="7"/>
        <v>0.38047547238689322</v>
      </c>
      <c r="CN32" s="2">
        <f ca="1">-$M32*LOG(CK32)</f>
        <v>0.45820426474011777</v>
      </c>
      <c r="CO32" s="2">
        <f ca="1">-$N32*LOG(CL32)</f>
        <v>0</v>
      </c>
      <c r="CP32" s="2">
        <f ca="1">-$O32*LOG(CM32)</f>
        <v>0</v>
      </c>
      <c r="CQ32" s="2">
        <f t="shared" ca="1" si="3"/>
        <v>0.45820426474011777</v>
      </c>
      <c r="CR32" s="2"/>
      <c r="CS32" s="2">
        <f ca="1">(CK32-'2'!Z32)*'2'!V32</f>
        <v>3.6642430412048819E-4</v>
      </c>
      <c r="CT32" s="2">
        <f>('1'!$I32-$M32)*'2'!W32</f>
        <v>-4.0123456790123448E-2</v>
      </c>
      <c r="CU32" s="2">
        <f>('1'!$I32-$M32)*'2'!X32</f>
        <v>-8.7884494664155679E-3</v>
      </c>
      <c r="CV32" s="2">
        <f>('1'!$I32-$M32)*'2'!Y32</f>
        <v>-1.234567901234568E-2</v>
      </c>
      <c r="CW32" s="2">
        <f>('1'!$I32-$M32)</f>
        <v>-0.66666666666666674</v>
      </c>
      <c r="CX32" s="2">
        <f>('1'!$J32-$N32)*'2'!V32</f>
        <v>8.2304526748971148E-3</v>
      </c>
      <c r="CY32" s="2">
        <f>('1'!$J32-$N32)*'2'!W32</f>
        <v>2.006172839506172E-2</v>
      </c>
      <c r="CZ32" s="2">
        <f>('1'!$J32-$N32)*'2'!X32</f>
        <v>4.3942247332077831E-3</v>
      </c>
      <c r="DA32" s="2">
        <f>('1'!$J32-$N32)*'2'!Y32</f>
        <v>6.1728395061728392E-3</v>
      </c>
      <c r="DB32" s="2">
        <f>('1'!$J32-$N32)</f>
        <v>0.33333333333333331</v>
      </c>
      <c r="DC32" s="2">
        <f>('1'!$K32-$O32)*'2'!V32</f>
        <v>8.2304526748971148E-3</v>
      </c>
      <c r="DD32" s="2">
        <f>('1'!$K32-$O32)*'2'!W32</f>
        <v>2.006172839506172E-2</v>
      </c>
      <c r="DE32" s="2">
        <f>('1'!$K32-$O32)*'2'!X32</f>
        <v>4.3942247332077831E-3</v>
      </c>
      <c r="DF32" s="2">
        <f>('1'!$K32-$O32)*'2'!Y32</f>
        <v>6.1728395061728392E-3</v>
      </c>
      <c r="DG32" s="2">
        <f>('1'!$K32-$O32)</f>
        <v>0.33333333333333331</v>
      </c>
    </row>
    <row r="33" spans="2:111" ht="15" x14ac:dyDescent="0.25">
      <c r="B33" s="1">
        <v>4.8</v>
      </c>
      <c r="C33" s="1">
        <v>3.4</v>
      </c>
      <c r="D33" s="1">
        <v>1.9</v>
      </c>
      <c r="E33" s="1">
        <v>0.2</v>
      </c>
      <c r="F33" s="1" t="s">
        <v>5</v>
      </c>
      <c r="I33" s="2">
        <f>(B33-B$5)/(B$4-B$5)</f>
        <v>0.13888888888888887</v>
      </c>
      <c r="J33" s="2">
        <f>(C33-C$5)/(C$4-C$5)</f>
        <v>0.58333333333333326</v>
      </c>
      <c r="K33" s="2">
        <f>(D33-D$5)/(D$4-D$5)</f>
        <v>0.15254237288135591</v>
      </c>
      <c r="L33" s="2">
        <f>(E33-E$5)/(E$4-E$5)</f>
        <v>4.1666666666666671E-2</v>
      </c>
      <c r="M33" s="3">
        <f>IF($F33=M$8,1,0)</f>
        <v>1</v>
      </c>
      <c r="N33" s="3">
        <f>IF($F33=N$8,1,0)</f>
        <v>0</v>
      </c>
      <c r="O33" s="3">
        <f>IF($F33=O$8,1,0)</f>
        <v>0</v>
      </c>
      <c r="CD33" s="2">
        <f ca="1">CD$2*$I33+CD$3*$J33+CD$4*$K33+CD$5*$L33+CD$6</f>
        <v>0.25554657447170337</v>
      </c>
      <c r="CE33" s="2">
        <f ca="1">CE$2*$I33+CE$3*$J33+CE$4*$K33+CE$5*$L33+CE$6</f>
        <v>4.5177017707445796E-2</v>
      </c>
      <c r="CF33" s="2">
        <f ca="1">CF$2*$I33+CF$3*$J33+CF$4*$K33+CF$5*$L33+CF$6</f>
        <v>0.29657891537031877</v>
      </c>
      <c r="CG33" s="2">
        <f t="shared" ca="1" si="4"/>
        <v>1.2911671470453052</v>
      </c>
      <c r="CH33" s="2">
        <f t="shared" ca="1" si="1"/>
        <v>1.0462130417521516</v>
      </c>
      <c r="CI33" s="2">
        <f t="shared" ca="1" si="2"/>
        <v>1.3452487166091445</v>
      </c>
      <c r="CJ33" s="2">
        <f t="shared" ca="1" si="5"/>
        <v>3.6826289054066015</v>
      </c>
      <c r="CK33" s="2">
        <f ca="1">CG33/'1'!$H33</f>
        <v>0.35532982356379839</v>
      </c>
      <c r="CL33" s="2">
        <f t="shared" ca="1" si="6"/>
        <v>0.28409407209511883</v>
      </c>
      <c r="CM33" s="2">
        <f t="shared" ca="1" si="7"/>
        <v>0.36529575777622769</v>
      </c>
      <c r="CN33" s="2">
        <f ca="1">-$M33*LOG(CK33)</f>
        <v>0.44936833975069368</v>
      </c>
      <c r="CO33" s="2">
        <f ca="1">-$N33*LOG(CL33)</f>
        <v>0</v>
      </c>
      <c r="CP33" s="2">
        <f ca="1">-$O33*LOG(CM33)</f>
        <v>0</v>
      </c>
      <c r="CQ33" s="2">
        <f t="shared" ca="1" si="3"/>
        <v>0.44936833975069368</v>
      </c>
      <c r="CR33" s="2"/>
      <c r="CS33" s="2">
        <f ca="1">(CK33-'2'!Z33)*'2'!V33</f>
        <v>3.3945200972939916E-4</v>
      </c>
      <c r="CT33" s="2">
        <f>('1'!$I33-$M33)*'2'!W33</f>
        <v>-4.3209876543209867E-2</v>
      </c>
      <c r="CU33" s="2">
        <f>('1'!$I33-$M33)*'2'!X33</f>
        <v>-1.1299435028248586E-2</v>
      </c>
      <c r="CV33" s="2">
        <f>('1'!$I33-$M33)*'2'!Y33</f>
        <v>-3.08641975308642E-3</v>
      </c>
      <c r="CW33" s="2">
        <f>('1'!$I33-$M33)</f>
        <v>-0.66666666666666674</v>
      </c>
      <c r="CX33" s="2">
        <f>('1'!$J33-$N33)*'2'!V33</f>
        <v>5.1440329218106979E-3</v>
      </c>
      <c r="CY33" s="2">
        <f>('1'!$J33-$N33)*'2'!W33</f>
        <v>2.160493827160493E-2</v>
      </c>
      <c r="CZ33" s="2">
        <f>('1'!$J33-$N33)*'2'!X33</f>
        <v>5.649717514124292E-3</v>
      </c>
      <c r="DA33" s="2">
        <f>('1'!$J33-$N33)*'2'!Y33</f>
        <v>1.5432098765432098E-3</v>
      </c>
      <c r="DB33" s="2">
        <f>('1'!$J33-$N33)</f>
        <v>0.33333333333333331</v>
      </c>
      <c r="DC33" s="2">
        <f>('1'!$K33-$O33)*'2'!V33</f>
        <v>5.1440329218106979E-3</v>
      </c>
      <c r="DD33" s="2">
        <f>('1'!$K33-$O33)*'2'!W33</f>
        <v>2.160493827160493E-2</v>
      </c>
      <c r="DE33" s="2">
        <f>('1'!$K33-$O33)*'2'!X33</f>
        <v>5.649717514124292E-3</v>
      </c>
      <c r="DF33" s="2">
        <f>('1'!$K33-$O33)*'2'!Y33</f>
        <v>1.5432098765432098E-3</v>
      </c>
      <c r="DG33" s="2">
        <f>('1'!$K33-$O33)</f>
        <v>0.33333333333333331</v>
      </c>
    </row>
    <row r="34" spans="2:111" ht="15" x14ac:dyDescent="0.25">
      <c r="B34" s="1">
        <v>5</v>
      </c>
      <c r="C34" s="1">
        <v>3</v>
      </c>
      <c r="D34" s="1">
        <v>1.6</v>
      </c>
      <c r="E34" s="1">
        <v>0.2</v>
      </c>
      <c r="F34" s="1" t="s">
        <v>5</v>
      </c>
      <c r="I34" s="2">
        <f>(B34-B$5)/(B$4-B$5)</f>
        <v>0.19444444444444448</v>
      </c>
      <c r="J34" s="2">
        <f>(C34-C$5)/(C$4-C$5)</f>
        <v>0.41666666666666663</v>
      </c>
      <c r="K34" s="2">
        <f>(D34-D$5)/(D$4-D$5)</f>
        <v>0.10169491525423729</v>
      </c>
      <c r="L34" s="2">
        <f>(E34-E$5)/(E$4-E$5)</f>
        <v>4.1666666666666671E-2</v>
      </c>
      <c r="M34" s="3">
        <f>IF($F34=M$8,1,0)</f>
        <v>1</v>
      </c>
      <c r="N34" s="3">
        <f>IF($F34=N$8,1,0)</f>
        <v>0</v>
      </c>
      <c r="O34" s="3">
        <f>IF($F34=O$8,1,0)</f>
        <v>0</v>
      </c>
      <c r="CD34" s="2">
        <f ca="1">CD$2*$I34+CD$3*$J34+CD$4*$K34+CD$5*$L34+CD$6</f>
        <v>0.22363420154308988</v>
      </c>
      <c r="CE34" s="2">
        <f ca="1">CE$2*$I34+CE$3*$J34+CE$4*$K34+CE$5*$L34+CE$6</f>
        <v>5.7033802808553108E-2</v>
      </c>
      <c r="CF34" s="2">
        <f ca="1">CF$2*$I34+CF$3*$J34+CF$4*$K34+CF$5*$L34+CF$6</f>
        <v>0.27227890543782823</v>
      </c>
      <c r="CG34" s="2">
        <f t="shared" ca="1" si="4"/>
        <v>1.2506134632717405</v>
      </c>
      <c r="CH34" s="2">
        <f t="shared" ca="1" si="1"/>
        <v>1.0586915965400152</v>
      </c>
      <c r="CI34" s="2">
        <f t="shared" ca="1" si="2"/>
        <v>1.3129531400200616</v>
      </c>
      <c r="CJ34" s="2">
        <f t="shared" ca="1" si="5"/>
        <v>3.6222581998318173</v>
      </c>
      <c r="CK34" s="2">
        <f ca="1">CG34/'1'!$H34</f>
        <v>0.34978893249239007</v>
      </c>
      <c r="CL34" s="2">
        <f t="shared" ca="1" si="6"/>
        <v>0.29227391812907499</v>
      </c>
      <c r="CM34" s="2">
        <f t="shared" ca="1" si="7"/>
        <v>0.3624681255690228</v>
      </c>
      <c r="CN34" s="2">
        <f ca="1">-$M34*LOG(CK34)</f>
        <v>0.45619393594803304</v>
      </c>
      <c r="CO34" s="2">
        <f ca="1">-$N34*LOG(CL34)</f>
        <v>0</v>
      </c>
      <c r="CP34" s="2">
        <f ca="1">-$O34*LOG(CM34)</f>
        <v>0</v>
      </c>
      <c r="CQ34" s="2">
        <f t="shared" ca="1" si="3"/>
        <v>0.45619393594803304</v>
      </c>
      <c r="CR34" s="2"/>
      <c r="CS34" s="2">
        <f ca="1">(CK34-'2'!Z34)*'2'!V34</f>
        <v>3.5552220405369429E-4</v>
      </c>
      <c r="CT34" s="2">
        <f>('1'!$I34-$M34)*'2'!W34</f>
        <v>-3.0864197530864199E-2</v>
      </c>
      <c r="CU34" s="2">
        <f>('1'!$I34-$M34)*'2'!X34</f>
        <v>-7.5329566854990607E-3</v>
      </c>
      <c r="CV34" s="2">
        <f>('1'!$I34-$M34)*'2'!Y34</f>
        <v>-3.0864197530864204E-3</v>
      </c>
      <c r="CW34" s="2">
        <f>('1'!$I34-$M34)</f>
        <v>-0.66666666666666663</v>
      </c>
      <c r="CX34" s="2">
        <f>('1'!$J34-$N34)*'2'!V34</f>
        <v>7.2016460905349831E-3</v>
      </c>
      <c r="CY34" s="2">
        <f>('1'!$J34-$N34)*'2'!W34</f>
        <v>1.5432098765432101E-2</v>
      </c>
      <c r="CZ34" s="2">
        <f>('1'!$J34-$N34)*'2'!X34</f>
        <v>3.7664783427495308E-3</v>
      </c>
      <c r="DA34" s="2">
        <f>('1'!$J34-$N34)*'2'!Y34</f>
        <v>1.5432098765432104E-3</v>
      </c>
      <c r="DB34" s="2">
        <f>('1'!$J34-$N34)</f>
        <v>0.33333333333333337</v>
      </c>
      <c r="DC34" s="2">
        <f>('1'!$K34-$O34)*'2'!V34</f>
        <v>7.2016460905349831E-3</v>
      </c>
      <c r="DD34" s="2">
        <f>('1'!$K34-$O34)*'2'!W34</f>
        <v>1.5432098765432101E-2</v>
      </c>
      <c r="DE34" s="2">
        <f>('1'!$K34-$O34)*'2'!X34</f>
        <v>3.7664783427495308E-3</v>
      </c>
      <c r="DF34" s="2">
        <f>('1'!$K34-$O34)*'2'!Y34</f>
        <v>1.5432098765432104E-3</v>
      </c>
      <c r="DG34" s="2">
        <f>('1'!$K34-$O34)</f>
        <v>0.33333333333333337</v>
      </c>
    </row>
    <row r="35" spans="2:111" ht="15" x14ac:dyDescent="0.25">
      <c r="B35" s="1">
        <v>5</v>
      </c>
      <c r="C35" s="1">
        <v>3.4</v>
      </c>
      <c r="D35" s="1">
        <v>1.6</v>
      </c>
      <c r="E35" s="1">
        <v>0.4</v>
      </c>
      <c r="F35" s="1" t="s">
        <v>5</v>
      </c>
      <c r="I35" s="2">
        <f>(B35-B$5)/(B$4-B$5)</f>
        <v>0.19444444444444448</v>
      </c>
      <c r="J35" s="2">
        <f>(C35-C$5)/(C$4-C$5)</f>
        <v>0.58333333333333326</v>
      </c>
      <c r="K35" s="2">
        <f>(D35-D$5)/(D$4-D$5)</f>
        <v>0.10169491525423729</v>
      </c>
      <c r="L35" s="2">
        <f>(E35-E$5)/(E$4-E$5)</f>
        <v>0.12500000000000003</v>
      </c>
      <c r="M35" s="3">
        <f>IF($F35=M$8,1,0)</f>
        <v>1</v>
      </c>
      <c r="N35" s="3">
        <f>IF($F35=N$8,1,0)</f>
        <v>0</v>
      </c>
      <c r="O35" s="3">
        <f>IF($F35=O$8,1,0)</f>
        <v>0</v>
      </c>
      <c r="CD35" s="2">
        <f ca="1">CD$2*$I35+CD$3*$J35+CD$4*$K35+CD$5*$L35+CD$6</f>
        <v>0.2598727066109493</v>
      </c>
      <c r="CE35" s="2">
        <f ca="1">CE$2*$I35+CE$3*$J35+CE$4*$K35+CE$5*$L35+CE$6</f>
        <v>3.9590854633528343E-2</v>
      </c>
      <c r="CF35" s="2">
        <f ca="1">CF$2*$I35+CF$3*$J35+CF$4*$K35+CF$5*$L35+CF$6</f>
        <v>0.32848334854499361</v>
      </c>
      <c r="CG35" s="2">
        <f t="shared" ca="1" si="4"/>
        <v>1.2967650065467051</v>
      </c>
      <c r="CH35" s="2">
        <f t="shared" ca="1" si="1"/>
        <v>1.0403850183906997</v>
      </c>
      <c r="CI35" s="2">
        <f t="shared" ca="1" si="2"/>
        <v>1.3888601135938647</v>
      </c>
      <c r="CJ35" s="2">
        <f t="shared" ca="1" si="5"/>
        <v>3.7260101385312696</v>
      </c>
      <c r="CK35" s="2">
        <f ca="1">CG35/'1'!$H35</f>
        <v>0.35374221003827899</v>
      </c>
      <c r="CL35" s="2">
        <f t="shared" ca="1" si="6"/>
        <v>0.27922227254078325</v>
      </c>
      <c r="CM35" s="2">
        <f t="shared" ca="1" si="7"/>
        <v>0.37274727173483485</v>
      </c>
      <c r="CN35" s="2">
        <f ca="1">-$M35*LOG(CK35)</f>
        <v>0.4513131152122199</v>
      </c>
      <c r="CO35" s="2">
        <f ca="1">-$N35*LOG(CL35)</f>
        <v>0</v>
      </c>
      <c r="CP35" s="2">
        <f ca="1">-$O35*LOG(CM35)</f>
        <v>0</v>
      </c>
      <c r="CQ35" s="2">
        <f t="shared" ca="1" si="3"/>
        <v>0.4513131152122199</v>
      </c>
      <c r="CR35" s="2"/>
      <c r="CS35" s="2">
        <f ca="1">(CK35-'2'!Z35)*'2'!V35</f>
        <v>4.4093252140314738E-4</v>
      </c>
      <c r="CT35" s="2">
        <f>('1'!$I35-$M35)*'2'!W35</f>
        <v>-4.3209876543209867E-2</v>
      </c>
      <c r="CU35" s="2">
        <f>('1'!$I35-$M35)*'2'!X35</f>
        <v>-7.5329566854990589E-3</v>
      </c>
      <c r="CV35" s="2">
        <f>('1'!$I35-$M35)*'2'!Y35</f>
        <v>-9.2592592592592605E-3</v>
      </c>
      <c r="CW35" s="2">
        <f>('1'!$I35-$M35)</f>
        <v>-0.66666666666666674</v>
      </c>
      <c r="CX35" s="2">
        <f>('1'!$J35-$N35)*'2'!V35</f>
        <v>7.2016460905349796E-3</v>
      </c>
      <c r="CY35" s="2">
        <f>('1'!$J35-$N35)*'2'!W35</f>
        <v>2.160493827160493E-2</v>
      </c>
      <c r="CZ35" s="2">
        <f>('1'!$J35-$N35)*'2'!X35</f>
        <v>3.766478342749529E-3</v>
      </c>
      <c r="DA35" s="2">
        <f>('1'!$J35-$N35)*'2'!Y35</f>
        <v>4.6296296296296294E-3</v>
      </c>
      <c r="DB35" s="2">
        <f>('1'!$J35-$N35)</f>
        <v>0.33333333333333331</v>
      </c>
      <c r="DC35" s="2">
        <f>('1'!$K35-$O35)*'2'!V35</f>
        <v>7.2016460905349796E-3</v>
      </c>
      <c r="DD35" s="2">
        <f>('1'!$K35-$O35)*'2'!W35</f>
        <v>2.160493827160493E-2</v>
      </c>
      <c r="DE35" s="2">
        <f>('1'!$K35-$O35)*'2'!X35</f>
        <v>3.766478342749529E-3</v>
      </c>
      <c r="DF35" s="2">
        <f>('1'!$K35-$O35)*'2'!Y35</f>
        <v>4.6296296296296294E-3</v>
      </c>
      <c r="DG35" s="2">
        <f>('1'!$K35-$O35)</f>
        <v>0.33333333333333331</v>
      </c>
    </row>
    <row r="36" spans="2:111" ht="15" x14ac:dyDescent="0.25">
      <c r="B36" s="1">
        <v>5.2</v>
      </c>
      <c r="C36" s="1">
        <v>3.5</v>
      </c>
      <c r="D36" s="1">
        <v>1.5</v>
      </c>
      <c r="E36" s="1">
        <v>0.2</v>
      </c>
      <c r="F36" s="1" t="s">
        <v>5</v>
      </c>
      <c r="I36" s="2">
        <f>(B36-B$5)/(B$4-B$5)</f>
        <v>0.25000000000000006</v>
      </c>
      <c r="J36" s="2">
        <f>(C36-C$5)/(C$4-C$5)</f>
        <v>0.62499999999999989</v>
      </c>
      <c r="K36" s="2">
        <f>(D36-D$5)/(D$4-D$5)</f>
        <v>8.4745762711864403E-2</v>
      </c>
      <c r="L36" s="2">
        <f>(E36-E$5)/(E$4-E$5)</f>
        <v>4.1666666666666671E-2</v>
      </c>
      <c r="M36" s="3">
        <f>IF($F36=M$8,1,0)</f>
        <v>1</v>
      </c>
      <c r="N36" s="3">
        <f>IF($F36=N$8,1,0)</f>
        <v>0</v>
      </c>
      <c r="O36" s="3">
        <f>IF($F36=O$8,1,0)</f>
        <v>0</v>
      </c>
      <c r="CD36" s="2">
        <f ca="1">CD$2*$I36+CD$3*$J36+CD$4*$K36+CD$5*$L36+CD$6</f>
        <v>0.28596487165650741</v>
      </c>
      <c r="CE36" s="2">
        <f ca="1">CE$2*$I36+CE$3*$J36+CE$4*$K36+CE$5*$L36+CE$6</f>
        <v>3.6696954266118867E-2</v>
      </c>
      <c r="CF36" s="2">
        <f ca="1">CF$2*$I36+CF$3*$J36+CF$4*$K36+CF$5*$L36+CF$6</f>
        <v>0.31002845604011592</v>
      </c>
      <c r="CG36" s="2">
        <f t="shared" ca="1" si="4"/>
        <v>1.331045697000578</v>
      </c>
      <c r="CH36" s="2">
        <f t="shared" ca="1" si="1"/>
        <v>1.0373786000394609</v>
      </c>
      <c r="CI36" s="2">
        <f t="shared" ca="1" si="2"/>
        <v>1.36346391236394</v>
      </c>
      <c r="CJ36" s="2">
        <f t="shared" ca="1" si="5"/>
        <v>3.7318882094039791</v>
      </c>
      <c r="CK36" s="2">
        <f ca="1">CG36/'1'!$H36</f>
        <v>0.36320471157193329</v>
      </c>
      <c r="CL36" s="2">
        <f t="shared" ca="1" si="6"/>
        <v>0.27797686903519037</v>
      </c>
      <c r="CM36" s="2">
        <f t="shared" ca="1" si="7"/>
        <v>0.36535497202948081</v>
      </c>
      <c r="CN36" s="2">
        <f ca="1">-$M36*LOG(CK36)</f>
        <v>0.43984852635023741</v>
      </c>
      <c r="CO36" s="2">
        <f ca="1">-$N36*LOG(CL36)</f>
        <v>0</v>
      </c>
      <c r="CP36" s="2">
        <f ca="1">-$O36*LOG(CM36)</f>
        <v>0</v>
      </c>
      <c r="CQ36" s="2">
        <f t="shared" ca="1" si="3"/>
        <v>0.43984852635023741</v>
      </c>
      <c r="CR36" s="2"/>
      <c r="CS36" s="2">
        <f ca="1">(CK36-'2'!Z36)*'2'!V36</f>
        <v>8.29760506627776E-4</v>
      </c>
      <c r="CT36" s="2">
        <f>('1'!$I36-$M36)*'2'!W36</f>
        <v>-4.6296296296296294E-2</v>
      </c>
      <c r="CU36" s="2">
        <f>('1'!$I36-$M36)*'2'!X36</f>
        <v>-6.27746390458255E-3</v>
      </c>
      <c r="CV36" s="2">
        <f>('1'!$I36-$M36)*'2'!Y36</f>
        <v>-3.0864197530864204E-3</v>
      </c>
      <c r="CW36" s="2">
        <f>('1'!$I36-$M36)</f>
        <v>-0.66666666666666663</v>
      </c>
      <c r="CX36" s="2">
        <f>('1'!$J36-$N36)*'2'!V36</f>
        <v>9.2592592592592639E-3</v>
      </c>
      <c r="CY36" s="2">
        <f>('1'!$J36-$N36)*'2'!W36</f>
        <v>2.314814814814815E-2</v>
      </c>
      <c r="CZ36" s="2">
        <f>('1'!$J36-$N36)*'2'!X36</f>
        <v>3.1387319522912754E-3</v>
      </c>
      <c r="DA36" s="2">
        <f>('1'!$J36-$N36)*'2'!Y36</f>
        <v>1.5432098765432104E-3</v>
      </c>
      <c r="DB36" s="2">
        <f>('1'!$J36-$N36)</f>
        <v>0.33333333333333337</v>
      </c>
      <c r="DC36" s="2">
        <f>('1'!$K36-$O36)*'2'!V36</f>
        <v>9.2592592592592639E-3</v>
      </c>
      <c r="DD36" s="2">
        <f>('1'!$K36-$O36)*'2'!W36</f>
        <v>2.314814814814815E-2</v>
      </c>
      <c r="DE36" s="2">
        <f>('1'!$K36-$O36)*'2'!X36</f>
        <v>3.1387319522912754E-3</v>
      </c>
      <c r="DF36" s="2">
        <f>('1'!$K36-$O36)*'2'!Y36</f>
        <v>1.5432098765432104E-3</v>
      </c>
      <c r="DG36" s="2">
        <f>('1'!$K36-$O36)</f>
        <v>0.33333333333333337</v>
      </c>
    </row>
    <row r="37" spans="2:111" ht="15" x14ac:dyDescent="0.25">
      <c r="B37" s="1">
        <v>5.2</v>
      </c>
      <c r="C37" s="1">
        <v>3.4</v>
      </c>
      <c r="D37" s="1">
        <v>1.4</v>
      </c>
      <c r="E37" s="1">
        <v>0.2</v>
      </c>
      <c r="F37" s="1" t="s">
        <v>5</v>
      </c>
      <c r="I37" s="2">
        <f>(B37-B$5)/(B$4-B$5)</f>
        <v>0.25000000000000006</v>
      </c>
      <c r="J37" s="2">
        <f>(C37-C$5)/(C$4-C$5)</f>
        <v>0.58333333333333326</v>
      </c>
      <c r="K37" s="2">
        <f>(D37-D$5)/(D$4-D$5)</f>
        <v>6.7796610169491511E-2</v>
      </c>
      <c r="L37" s="2">
        <f>(E37-E$5)/(E$4-E$5)</f>
        <v>4.1666666666666671E-2</v>
      </c>
      <c r="M37" s="3">
        <f>IF($F37=M$8,1,0)</f>
        <v>1</v>
      </c>
      <c r="N37" s="3">
        <f>IF($F37=N$8,1,0)</f>
        <v>0</v>
      </c>
      <c r="O37" s="3">
        <f>IF($F37=O$8,1,0)</f>
        <v>0</v>
      </c>
      <c r="CD37" s="2">
        <f ca="1">CD$2*$I37+CD$3*$J37+CD$4*$K37+CD$5*$L37+CD$6</f>
        <v>0.27637524585454254</v>
      </c>
      <c r="CE37" s="2">
        <f ca="1">CE$2*$I37+CE$3*$J37+CE$4*$K37+CE$5*$L37+CE$6</f>
        <v>4.0082971184605527E-2</v>
      </c>
      <c r="CF37" s="2">
        <f ca="1">CF$2*$I37+CF$3*$J37+CF$4*$K37+CF$5*$L37+CF$6</f>
        <v>0.29793257995696032</v>
      </c>
      <c r="CG37" s="2">
        <f t="shared" ca="1" si="4"/>
        <v>1.3183424737695213</v>
      </c>
      <c r="CH37" s="2">
        <f t="shared" ca="1" si="1"/>
        <v>1.0408971350779561</v>
      </c>
      <c r="CI37" s="2">
        <f t="shared" ca="1" si="2"/>
        <v>1.3470709652355015</v>
      </c>
      <c r="CJ37" s="2">
        <f t="shared" ca="1" si="5"/>
        <v>3.7063105740829787</v>
      </c>
      <c r="CK37" s="2">
        <f ca="1">CG37/'1'!$H37</f>
        <v>0.36185318930187232</v>
      </c>
      <c r="CL37" s="2">
        <f t="shared" ca="1" si="6"/>
        <v>0.28084455262778313</v>
      </c>
      <c r="CM37" s="2">
        <f t="shared" ca="1" si="7"/>
        <v>0.36345334216056513</v>
      </c>
      <c r="CN37" s="2">
        <f ca="1">-$M37*LOG(CK37)</f>
        <v>0.44146759523607532</v>
      </c>
      <c r="CO37" s="2">
        <f ca="1">-$N37*LOG(CL37)</f>
        <v>0</v>
      </c>
      <c r="CP37" s="2">
        <f ca="1">-$O37*LOG(CM37)</f>
        <v>0</v>
      </c>
      <c r="CQ37" s="2">
        <f t="shared" ca="1" si="3"/>
        <v>0.44146759523607532</v>
      </c>
      <c r="CR37" s="2"/>
      <c r="CS37" s="2">
        <f ca="1">(CK37-'2'!Z37)*'2'!V37</f>
        <v>7.9221822134830592E-4</v>
      </c>
      <c r="CT37" s="2">
        <f>('1'!$I37-$M37)*'2'!W37</f>
        <v>-4.3209876543209867E-2</v>
      </c>
      <c r="CU37" s="2">
        <f>('1'!$I37-$M37)*'2'!X37</f>
        <v>-5.0219711236660376E-3</v>
      </c>
      <c r="CV37" s="2">
        <f>('1'!$I37-$M37)*'2'!Y37</f>
        <v>-3.08641975308642E-3</v>
      </c>
      <c r="CW37" s="2">
        <f>('1'!$I37-$M37)</f>
        <v>-0.66666666666666674</v>
      </c>
      <c r="CX37" s="2">
        <f>('1'!$J37-$N37)*'2'!V37</f>
        <v>9.2592592592592587E-3</v>
      </c>
      <c r="CY37" s="2">
        <f>('1'!$J37-$N37)*'2'!W37</f>
        <v>2.160493827160493E-2</v>
      </c>
      <c r="CZ37" s="2">
        <f>('1'!$J37-$N37)*'2'!X37</f>
        <v>2.5109855618330183E-3</v>
      </c>
      <c r="DA37" s="2">
        <f>('1'!$J37-$N37)*'2'!Y37</f>
        <v>1.5432098765432098E-3</v>
      </c>
      <c r="DB37" s="2">
        <f>('1'!$J37-$N37)</f>
        <v>0.33333333333333331</v>
      </c>
      <c r="DC37" s="2">
        <f>('1'!$K37-$O37)*'2'!V37</f>
        <v>9.2592592592592587E-3</v>
      </c>
      <c r="DD37" s="2">
        <f>('1'!$K37-$O37)*'2'!W37</f>
        <v>2.160493827160493E-2</v>
      </c>
      <c r="DE37" s="2">
        <f>('1'!$K37-$O37)*'2'!X37</f>
        <v>2.5109855618330183E-3</v>
      </c>
      <c r="DF37" s="2">
        <f>('1'!$K37-$O37)*'2'!Y37</f>
        <v>1.5432098765432098E-3</v>
      </c>
      <c r="DG37" s="2">
        <f>('1'!$K37-$O37)</f>
        <v>0.33333333333333331</v>
      </c>
    </row>
    <row r="38" spans="2:111" ht="15" x14ac:dyDescent="0.25">
      <c r="B38" s="1">
        <v>4.7</v>
      </c>
      <c r="C38" s="1">
        <v>3.2</v>
      </c>
      <c r="D38" s="1">
        <v>1.6</v>
      </c>
      <c r="E38" s="1">
        <v>0.2</v>
      </c>
      <c r="F38" s="1" t="s">
        <v>5</v>
      </c>
      <c r="I38" s="2">
        <f>(B38-B$5)/(B$4-B$5)</f>
        <v>0.11111111111111119</v>
      </c>
      <c r="J38" s="2">
        <f>(C38-C$5)/(C$4-C$5)</f>
        <v>0.5</v>
      </c>
      <c r="K38" s="2">
        <f>(D38-D$5)/(D$4-D$5)</f>
        <v>0.10169491525423729</v>
      </c>
      <c r="L38" s="2">
        <f>(E38-E$5)/(E$4-E$5)</f>
        <v>4.1666666666666671E-2</v>
      </c>
      <c r="M38" s="3">
        <f>IF($F38=M$8,1,0)</f>
        <v>1</v>
      </c>
      <c r="N38" s="3">
        <f>IF($F38=N$8,1,0)</f>
        <v>0</v>
      </c>
      <c r="O38" s="3">
        <f>IF($F38=O$8,1,0)</f>
        <v>0</v>
      </c>
      <c r="CD38" s="2">
        <f ca="1">CD$2*$I38+CD$3*$J38+CD$4*$K38+CD$5*$L38+CD$6</f>
        <v>0.23371114421560396</v>
      </c>
      <c r="CE38" s="2">
        <f ca="1">CE$2*$I38+CE$3*$J38+CE$4*$K38+CE$5*$L38+CE$6</f>
        <v>5.2669872732470112E-2</v>
      </c>
      <c r="CF38" s="2">
        <f ca="1">CF$2*$I38+CF$3*$J38+CF$4*$K38+CF$5*$L38+CF$6</f>
        <v>0.25700160713154013</v>
      </c>
      <c r="CG38" s="2">
        <f t="shared" ca="1" si="4"/>
        <v>1.2632795338994802</v>
      </c>
      <c r="CH38" s="2">
        <f t="shared" ca="1" si="1"/>
        <v>1.0540816065934748</v>
      </c>
      <c r="CI38" s="2">
        <f t="shared" ca="1" si="2"/>
        <v>1.2930472048546295</v>
      </c>
      <c r="CJ38" s="2">
        <f t="shared" ca="1" si="5"/>
        <v>3.6104083453475848</v>
      </c>
      <c r="CK38" s="2">
        <f ca="1">CG38/'1'!$H38</f>
        <v>0.35333155493638629</v>
      </c>
      <c r="CL38" s="2">
        <f t="shared" ca="1" si="6"/>
        <v>0.29195634004994947</v>
      </c>
      <c r="CM38" s="2">
        <f t="shared" ca="1" si="7"/>
        <v>0.35814430977616857</v>
      </c>
      <c r="CN38" s="2">
        <f ca="1">-$M38*LOG(CK38)</f>
        <v>0.45181757535090472</v>
      </c>
      <c r="CO38" s="2">
        <f ca="1">-$N38*LOG(CL38)</f>
        <v>0</v>
      </c>
      <c r="CP38" s="2">
        <f ca="1">-$O38*LOG(CM38)</f>
        <v>0</v>
      </c>
      <c r="CQ38" s="2">
        <f t="shared" ca="1" si="3"/>
        <v>0.45181757535090472</v>
      </c>
      <c r="CR38" s="2"/>
      <c r="CS38" s="2">
        <f ca="1">(CK38-'2'!Z38)*'2'!V38</f>
        <v>2.4689162472904866E-4</v>
      </c>
      <c r="CT38" s="2">
        <f>('1'!$I38-$M38)*'2'!W38</f>
        <v>-3.7037037037037042E-2</v>
      </c>
      <c r="CU38" s="2">
        <f>('1'!$I38-$M38)*'2'!X38</f>
        <v>-7.5329566854990607E-3</v>
      </c>
      <c r="CV38" s="2">
        <f>('1'!$I38-$M38)*'2'!Y38</f>
        <v>-3.0864197530864204E-3</v>
      </c>
      <c r="CW38" s="2">
        <f>('1'!$I38-$M38)</f>
        <v>-0.66666666666666663</v>
      </c>
      <c r="CX38" s="2">
        <f>('1'!$J38-$N38)*'2'!V38</f>
        <v>4.1152263374485644E-3</v>
      </c>
      <c r="CY38" s="2">
        <f>('1'!$J38-$N38)*'2'!W38</f>
        <v>1.8518518518518524E-2</v>
      </c>
      <c r="CZ38" s="2">
        <f>('1'!$J38-$N38)*'2'!X38</f>
        <v>3.7664783427495308E-3</v>
      </c>
      <c r="DA38" s="2">
        <f>('1'!$J38-$N38)*'2'!Y38</f>
        <v>1.5432098765432104E-3</v>
      </c>
      <c r="DB38" s="2">
        <f>('1'!$J38-$N38)</f>
        <v>0.33333333333333337</v>
      </c>
      <c r="DC38" s="2">
        <f>('1'!$K38-$O38)*'2'!V38</f>
        <v>4.1152263374485644E-3</v>
      </c>
      <c r="DD38" s="2">
        <f>('1'!$K38-$O38)*'2'!W38</f>
        <v>1.8518518518518524E-2</v>
      </c>
      <c r="DE38" s="2">
        <f>('1'!$K38-$O38)*'2'!X38</f>
        <v>3.7664783427495308E-3</v>
      </c>
      <c r="DF38" s="2">
        <f>('1'!$K38-$O38)*'2'!Y38</f>
        <v>1.5432098765432104E-3</v>
      </c>
      <c r="DG38" s="2">
        <f>('1'!$K38-$O38)</f>
        <v>0.33333333333333337</v>
      </c>
    </row>
    <row r="39" spans="2:111" ht="15" x14ac:dyDescent="0.25">
      <c r="B39" s="1">
        <v>4.8</v>
      </c>
      <c r="C39" s="1">
        <v>3.1</v>
      </c>
      <c r="D39" s="1">
        <v>1.6</v>
      </c>
      <c r="E39" s="1">
        <v>0.2</v>
      </c>
      <c r="F39" s="1" t="s">
        <v>5</v>
      </c>
      <c r="I39" s="2">
        <f>(B39-B$5)/(B$4-B$5)</f>
        <v>0.13888888888888887</v>
      </c>
      <c r="J39" s="2">
        <f>(C39-C$5)/(C$4-C$5)</f>
        <v>0.45833333333333331</v>
      </c>
      <c r="K39" s="2">
        <f>(D39-D$5)/(D$4-D$5)</f>
        <v>0.10169491525423729</v>
      </c>
      <c r="L39" s="2">
        <f>(E39-E$5)/(E$4-E$5)</f>
        <v>4.1666666666666671E-2</v>
      </c>
      <c r="M39" s="3">
        <f>IF($F39=M$8,1,0)</f>
        <v>1</v>
      </c>
      <c r="N39" s="3">
        <f>IF($F39=N$8,1,0)</f>
        <v>0</v>
      </c>
      <c r="O39" s="3">
        <f>IF($F39=O$8,1,0)</f>
        <v>0</v>
      </c>
      <c r="CD39" s="2">
        <f ca="1">CD$2*$I39+CD$3*$J39+CD$4*$K39+CD$5*$L39+CD$6</f>
        <v>0.22677769706580869</v>
      </c>
      <c r="CE39" s="2">
        <f ca="1">CE$2*$I39+CE$3*$J39+CE$4*$K39+CE$5*$L39+CE$6</f>
        <v>5.5335068462905791E-2</v>
      </c>
      <c r="CF39" s="2">
        <f ca="1">CF$2*$I39+CF$3*$J39+CF$4*$K39+CF$5*$L39+CF$6</f>
        <v>0.26029128712085198</v>
      </c>
      <c r="CG39" s="2">
        <f t="shared" ca="1" si="4"/>
        <v>1.2545509465823921</v>
      </c>
      <c r="CH39" s="2">
        <f t="shared" ca="1" si="1"/>
        <v>1.0568946874312455</v>
      </c>
      <c r="CI39" s="2">
        <f t="shared" ca="1" si="2"/>
        <v>1.2973079207230889</v>
      </c>
      <c r="CJ39" s="2">
        <f t="shared" ca="1" si="5"/>
        <v>3.6087535547367264</v>
      </c>
      <c r="CK39" s="2">
        <f ca="1">CG39/'1'!$H39</f>
        <v>0.35137790860251877</v>
      </c>
      <c r="CL39" s="2">
        <f t="shared" ca="1" si="6"/>
        <v>0.29286973227750662</v>
      </c>
      <c r="CM39" s="2">
        <f t="shared" ca="1" si="7"/>
        <v>0.35948919787561745</v>
      </c>
      <c r="CN39" s="2">
        <f ca="1">-$M39*LOG(CK39)</f>
        <v>0.4542255464082075</v>
      </c>
      <c r="CO39" s="2">
        <f ca="1">-$N39*LOG(CL39)</f>
        <v>0</v>
      </c>
      <c r="CP39" s="2">
        <f ca="1">-$O39*LOG(CM39)</f>
        <v>0</v>
      </c>
      <c r="CQ39" s="2">
        <f t="shared" ca="1" si="3"/>
        <v>0.4542255464082075</v>
      </c>
      <c r="CR39" s="2"/>
      <c r="CS39" s="2">
        <f ca="1">(CK39-'2'!Z39)*'2'!V39</f>
        <v>2.7846566773434344E-4</v>
      </c>
      <c r="CT39" s="2">
        <f>('1'!$I39-$M39)*'2'!W39</f>
        <v>-3.3950617283950615E-2</v>
      </c>
      <c r="CU39" s="2">
        <f>('1'!$I39-$M39)*'2'!X39</f>
        <v>-7.5329566854990589E-3</v>
      </c>
      <c r="CV39" s="2">
        <f>('1'!$I39-$M39)*'2'!Y39</f>
        <v>-3.08641975308642E-3</v>
      </c>
      <c r="CW39" s="2">
        <f>('1'!$I39-$M39)</f>
        <v>-0.66666666666666674</v>
      </c>
      <c r="CX39" s="2">
        <f>('1'!$J39-$N39)*'2'!V39</f>
        <v>5.1440329218106979E-3</v>
      </c>
      <c r="CY39" s="2">
        <f>('1'!$J39-$N39)*'2'!W39</f>
        <v>1.6975308641975304E-2</v>
      </c>
      <c r="CZ39" s="2">
        <f>('1'!$J39-$N39)*'2'!X39</f>
        <v>3.766478342749529E-3</v>
      </c>
      <c r="DA39" s="2">
        <f>('1'!$J39-$N39)*'2'!Y39</f>
        <v>1.5432098765432098E-3</v>
      </c>
      <c r="DB39" s="2">
        <f>('1'!$J39-$N39)</f>
        <v>0.33333333333333331</v>
      </c>
      <c r="DC39" s="2">
        <f>('1'!$K39-$O39)*'2'!V39</f>
        <v>5.1440329218106979E-3</v>
      </c>
      <c r="DD39" s="2">
        <f>('1'!$K39-$O39)*'2'!W39</f>
        <v>1.6975308641975304E-2</v>
      </c>
      <c r="DE39" s="2">
        <f>('1'!$K39-$O39)*'2'!X39</f>
        <v>3.766478342749529E-3</v>
      </c>
      <c r="DF39" s="2">
        <f>('1'!$K39-$O39)*'2'!Y39</f>
        <v>1.5432098765432098E-3</v>
      </c>
      <c r="DG39" s="2">
        <f>('1'!$K39-$O39)</f>
        <v>0.33333333333333331</v>
      </c>
    </row>
    <row r="40" spans="2:111" ht="15" x14ac:dyDescent="0.25">
      <c r="B40" s="1">
        <v>5.4</v>
      </c>
      <c r="C40" s="1">
        <v>3.4</v>
      </c>
      <c r="D40" s="1">
        <v>1.5</v>
      </c>
      <c r="E40" s="1">
        <v>0.4</v>
      </c>
      <c r="F40" s="1" t="s">
        <v>5</v>
      </c>
      <c r="I40" s="2">
        <f>(B40-B$5)/(B$4-B$5)</f>
        <v>0.30555555555555564</v>
      </c>
      <c r="J40" s="2">
        <f>(C40-C$5)/(C$4-C$5)</f>
        <v>0.58333333333333326</v>
      </c>
      <c r="K40" s="2">
        <f>(D40-D$5)/(D$4-D$5)</f>
        <v>8.4745762711864403E-2</v>
      </c>
      <c r="L40" s="2">
        <f>(E40-E$5)/(E$4-E$5)</f>
        <v>0.12500000000000003</v>
      </c>
      <c r="M40" s="3">
        <f>IF($F40=M$8,1,0)</f>
        <v>1</v>
      </c>
      <c r="N40" s="3">
        <f>IF($F40=N$8,1,0)</f>
        <v>0</v>
      </c>
      <c r="O40" s="3">
        <f>IF($F40=O$8,1,0)</f>
        <v>0</v>
      </c>
      <c r="CD40" s="2">
        <f ca="1">CD$2*$I40+CD$3*$J40+CD$4*$K40+CD$5*$L40+CD$6</f>
        <v>0.27616628609416161</v>
      </c>
      <c r="CE40" s="2">
        <f ca="1">CE$2*$I40+CE$3*$J40+CE$4*$K40+CE$5*$L40+CE$6</f>
        <v>3.5479368897637531E-2</v>
      </c>
      <c r="CF40" s="2">
        <f ca="1">CF$2*$I40+CF$3*$J40+CF$4*$K40+CF$5*$L40+CF$6</f>
        <v>0.35658748411084779</v>
      </c>
      <c r="CG40" s="2">
        <f t="shared" ca="1" si="4"/>
        <v>1.3180670220222701</v>
      </c>
      <c r="CH40" s="2">
        <f t="shared" ca="1" si="1"/>
        <v>1.0361162716866952</v>
      </c>
      <c r="CI40" s="2">
        <f t="shared" ca="1" si="2"/>
        <v>1.4284464914237351</v>
      </c>
      <c r="CJ40" s="2">
        <f t="shared" ca="1" si="5"/>
        <v>3.7826297851327007</v>
      </c>
      <c r="CK40" s="2">
        <f ca="1">CG40/'1'!$H40</f>
        <v>0.35618341585390578</v>
      </c>
      <c r="CL40" s="2">
        <f t="shared" ca="1" si="6"/>
        <v>0.27391426878703823</v>
      </c>
      <c r="CM40" s="2">
        <f t="shared" ca="1" si="7"/>
        <v>0.37763317389349615</v>
      </c>
      <c r="CN40" s="2">
        <f ca="1">-$M40*LOG(CK40)</f>
        <v>0.44832630545336938</v>
      </c>
      <c r="CO40" s="2">
        <f ca="1">-$N40*LOG(CL40)</f>
        <v>0</v>
      </c>
      <c r="CP40" s="2">
        <f ca="1">-$O40*LOG(CM40)</f>
        <v>0</v>
      </c>
      <c r="CQ40" s="2">
        <f t="shared" ca="1" si="3"/>
        <v>0.44832630545336938</v>
      </c>
      <c r="CR40" s="2"/>
      <c r="CS40" s="2">
        <f ca="1">(CK40-'2'!Z40)*'2'!V40</f>
        <v>7.7577440656264565E-4</v>
      </c>
      <c r="CT40" s="2">
        <f>('1'!$I40-$M40)*'2'!W40</f>
        <v>-4.3209876543209867E-2</v>
      </c>
      <c r="CU40" s="2">
        <f>('1'!$I40-$M40)*'2'!X40</f>
        <v>-6.2774639045825474E-3</v>
      </c>
      <c r="CV40" s="2">
        <f>('1'!$I40-$M40)*'2'!Y40</f>
        <v>-9.2592592592592605E-3</v>
      </c>
      <c r="CW40" s="2">
        <f>('1'!$I40-$M40)</f>
        <v>-0.66666666666666674</v>
      </c>
      <c r="CX40" s="2">
        <f>('1'!$J40-$N40)*'2'!V40</f>
        <v>1.131687242798354E-2</v>
      </c>
      <c r="CY40" s="2">
        <f>('1'!$J40-$N40)*'2'!W40</f>
        <v>2.160493827160493E-2</v>
      </c>
      <c r="CZ40" s="2">
        <f>('1'!$J40-$N40)*'2'!X40</f>
        <v>3.1387319522912733E-3</v>
      </c>
      <c r="DA40" s="2">
        <f>('1'!$J40-$N40)*'2'!Y40</f>
        <v>4.6296296296296294E-3</v>
      </c>
      <c r="DB40" s="2">
        <f>('1'!$J40-$N40)</f>
        <v>0.33333333333333331</v>
      </c>
      <c r="DC40" s="2">
        <f>('1'!$K40-$O40)*'2'!V40</f>
        <v>1.131687242798354E-2</v>
      </c>
      <c r="DD40" s="2">
        <f>('1'!$K40-$O40)*'2'!W40</f>
        <v>2.160493827160493E-2</v>
      </c>
      <c r="DE40" s="2">
        <f>('1'!$K40-$O40)*'2'!X40</f>
        <v>3.1387319522912733E-3</v>
      </c>
      <c r="DF40" s="2">
        <f>('1'!$K40-$O40)*'2'!Y40</f>
        <v>4.6296296296296294E-3</v>
      </c>
      <c r="DG40" s="2">
        <f>('1'!$K40-$O40)</f>
        <v>0.33333333333333331</v>
      </c>
    </row>
    <row r="41" spans="2:111" ht="15" x14ac:dyDescent="0.25">
      <c r="B41" s="1">
        <v>5.2</v>
      </c>
      <c r="C41" s="1">
        <v>4.0999999999999996</v>
      </c>
      <c r="D41" s="1">
        <v>1.5</v>
      </c>
      <c r="E41" s="1">
        <v>0.1</v>
      </c>
      <c r="F41" s="1" t="s">
        <v>5</v>
      </c>
      <c r="I41" s="2">
        <f>(B41-B$5)/(B$4-B$5)</f>
        <v>0.25000000000000006</v>
      </c>
      <c r="J41" s="2">
        <f>(C41-C$5)/(C$4-C$5)</f>
        <v>0.87499999999999978</v>
      </c>
      <c r="K41" s="2">
        <f>(D41-D$5)/(D$4-D$5)</f>
        <v>8.4745762711864403E-2</v>
      </c>
      <c r="L41" s="2">
        <f>(E41-E$5)/(E$4-E$5)</f>
        <v>0</v>
      </c>
      <c r="M41" s="3">
        <f>IF($F41=M$8,1,0)</f>
        <v>1</v>
      </c>
      <c r="N41" s="3">
        <f>IF($F41=N$8,1,0)</f>
        <v>0</v>
      </c>
      <c r="O41" s="3">
        <f>IF($F41=O$8,1,0)</f>
        <v>0</v>
      </c>
      <c r="CD41" s="2">
        <f ca="1">CD$2*$I41+CD$3*$J41+CD$4*$K41+CD$5*$L41+CD$6</f>
        <v>0.35363280933755054</v>
      </c>
      <c r="CE41" s="2">
        <f ca="1">CE$2*$I41+CE$3*$J41+CE$4*$K41+CE$5*$L41+CE$6</f>
        <v>1.6365171431838993E-2</v>
      </c>
      <c r="CF41" s="2">
        <f ca="1">CF$2*$I41+CF$3*$J41+CF$4*$K41+CF$5*$L41+CF$6</f>
        <v>0.32519230119335268</v>
      </c>
      <c r="CG41" s="2">
        <f t="shared" ca="1" si="4"/>
        <v>1.4242321257165276</v>
      </c>
      <c r="CH41" s="2">
        <f t="shared" ca="1" si="1"/>
        <v>1.0164998143317936</v>
      </c>
      <c r="CI41" s="2">
        <f t="shared" ca="1" si="2"/>
        <v>1.3842968223178036</v>
      </c>
      <c r="CJ41" s="2">
        <f t="shared" ca="1" si="5"/>
        <v>3.825028762366125</v>
      </c>
      <c r="CK41" s="2">
        <f ca="1">CG41/'1'!$H41</f>
        <v>0.38061989391798939</v>
      </c>
      <c r="CL41" s="2">
        <f t="shared" ca="1" si="6"/>
        <v>0.26574958712284213</v>
      </c>
      <c r="CM41" s="2">
        <f t="shared" ca="1" si="7"/>
        <v>0.36190494459484568</v>
      </c>
      <c r="CN41" s="2">
        <f ca="1">-$M41*LOG(CK41)</f>
        <v>0.41950851611990497</v>
      </c>
      <c r="CO41" s="2">
        <f ca="1">-$N41*LOG(CL41)</f>
        <v>0</v>
      </c>
      <c r="CP41" s="2">
        <f ca="1">-$O41*LOG(CM41)</f>
        <v>0</v>
      </c>
      <c r="CQ41" s="2">
        <f t="shared" ref="CQ41:CQ72" ca="1" si="8">SUM(CN41:CP41)</f>
        <v>0.41950851611990497</v>
      </c>
      <c r="CR41" s="2"/>
      <c r="CS41" s="2">
        <f ca="1">(CK41-'2'!Z41)*'2'!V41</f>
        <v>1.3135155717960013E-3</v>
      </c>
      <c r="CT41" s="2">
        <f>('1'!$I41-$M41)*'2'!W41</f>
        <v>-6.4814814814814811E-2</v>
      </c>
      <c r="CU41" s="2">
        <f>('1'!$I41-$M41)*'2'!X41</f>
        <v>-6.27746390458255E-3</v>
      </c>
      <c r="CV41" s="2">
        <f>('1'!$I41-$M41)*'2'!Y41</f>
        <v>0</v>
      </c>
      <c r="CW41" s="2">
        <f>('1'!$I41-$M41)</f>
        <v>-0.66666666666666663</v>
      </c>
      <c r="CX41" s="2">
        <f>('1'!$J41-$N41)*'2'!V41</f>
        <v>9.2592592592592639E-3</v>
      </c>
      <c r="CY41" s="2">
        <f>('1'!$J41-$N41)*'2'!W41</f>
        <v>3.2407407407407413E-2</v>
      </c>
      <c r="CZ41" s="2">
        <f>('1'!$J41-$N41)*'2'!X41</f>
        <v>3.1387319522912754E-3</v>
      </c>
      <c r="DA41" s="2">
        <f>('1'!$J41-$N41)*'2'!Y41</f>
        <v>0</v>
      </c>
      <c r="DB41" s="2">
        <f>('1'!$J41-$N41)</f>
        <v>0.33333333333333337</v>
      </c>
      <c r="DC41" s="2">
        <f>('1'!$K41-$O41)*'2'!V41</f>
        <v>9.2592592592592639E-3</v>
      </c>
      <c r="DD41" s="2">
        <f>('1'!$K41-$O41)*'2'!W41</f>
        <v>3.2407407407407413E-2</v>
      </c>
      <c r="DE41" s="2">
        <f>('1'!$K41-$O41)*'2'!X41</f>
        <v>3.1387319522912754E-3</v>
      </c>
      <c r="DF41" s="2">
        <f>('1'!$K41-$O41)*'2'!Y41</f>
        <v>0</v>
      </c>
      <c r="DG41" s="2">
        <f>('1'!$K41-$O41)</f>
        <v>0.33333333333333337</v>
      </c>
    </row>
    <row r="42" spans="2:111" ht="15" x14ac:dyDescent="0.25">
      <c r="B42" s="1">
        <v>5.5</v>
      </c>
      <c r="C42" s="1">
        <v>4.2</v>
      </c>
      <c r="D42" s="1">
        <v>1.4</v>
      </c>
      <c r="E42" s="1">
        <v>0.2</v>
      </c>
      <c r="F42" s="1" t="s">
        <v>5</v>
      </c>
      <c r="I42" s="2">
        <f>(B42-B$5)/(B$4-B$5)</f>
        <v>0.33333333333333331</v>
      </c>
      <c r="J42" s="2">
        <f>(C42-C$5)/(C$4-C$5)</f>
        <v>0.91666666666666663</v>
      </c>
      <c r="K42" s="2">
        <f>(D42-D$5)/(D$4-D$5)</f>
        <v>6.7796610169491511E-2</v>
      </c>
      <c r="L42" s="2">
        <f>(E42-E$5)/(E$4-E$5)</f>
        <v>4.1666666666666671E-2</v>
      </c>
      <c r="M42" s="3">
        <f>IF($F42=M$8,1,0)</f>
        <v>1</v>
      </c>
      <c r="N42" s="3">
        <f>IF($F42=N$8,1,0)</f>
        <v>0</v>
      </c>
      <c r="O42" s="3">
        <f>IF($F42=O$8,1,0)</f>
        <v>0</v>
      </c>
      <c r="CD42" s="2">
        <f ca="1">CD$2*$I42+CD$3*$J42+CD$4*$K42+CD$5*$L42+CD$6</f>
        <v>0.37353229095074453</v>
      </c>
      <c r="CE42" s="2">
        <f ca="1">CE$2*$I42+CE$3*$J42+CE$4*$K42+CE$5*$L42+CE$6</f>
        <v>8.1303301084481999E-3</v>
      </c>
      <c r="CF42" s="2">
        <f ca="1">CF$2*$I42+CF$3*$J42+CF$4*$K42+CF$5*$L42+CF$6</f>
        <v>0.36729246164677276</v>
      </c>
      <c r="CG42" s="2">
        <f t="shared" ca="1" si="4"/>
        <v>1.4528574769352731</v>
      </c>
      <c r="CH42" s="2">
        <f t="shared" ca="1" si="1"/>
        <v>1.0081634709968532</v>
      </c>
      <c r="CI42" s="2">
        <f t="shared" ca="1" si="2"/>
        <v>1.4438201193832341</v>
      </c>
      <c r="CJ42" s="2">
        <f t="shared" ca="1" si="5"/>
        <v>3.9048410673153602</v>
      </c>
      <c r="CK42" s="2">
        <f ca="1">CG42/'1'!$H42</f>
        <v>0.38250011487033858</v>
      </c>
      <c r="CL42" s="2">
        <f t="shared" ca="1" si="6"/>
        <v>0.2581829717566409</v>
      </c>
      <c r="CM42" s="2">
        <f t="shared" ca="1" si="7"/>
        <v>0.36975131496859698</v>
      </c>
      <c r="CN42" s="2">
        <f ca="1">-$M42*LOG(CK42)</f>
        <v>0.41736843008540492</v>
      </c>
      <c r="CO42" s="2">
        <f ca="1">-$N42*LOG(CL42)</f>
        <v>0</v>
      </c>
      <c r="CP42" s="2">
        <f ca="1">-$O42*LOG(CM42)</f>
        <v>0</v>
      </c>
      <c r="CQ42" s="2">
        <f t="shared" ca="1" si="8"/>
        <v>0.41736843008540492</v>
      </c>
      <c r="CR42" s="2"/>
      <c r="CS42" s="2">
        <f ca="1">(CK42-'2'!Z42)*'2'!V42</f>
        <v>1.8209919087779709E-3</v>
      </c>
      <c r="CT42" s="2">
        <f>('1'!$I42-$M42)*'2'!W42</f>
        <v>-6.7901234567901245E-2</v>
      </c>
      <c r="CU42" s="2">
        <f>('1'!$I42-$M42)*'2'!X42</f>
        <v>-5.0219711236660384E-3</v>
      </c>
      <c r="CV42" s="2">
        <f>('1'!$I42-$M42)*'2'!Y42</f>
        <v>-3.0864197530864204E-3</v>
      </c>
      <c r="CW42" s="2">
        <f>('1'!$I42-$M42)</f>
        <v>-0.66666666666666663</v>
      </c>
      <c r="CX42" s="2">
        <f>('1'!$J42-$N42)*'2'!V42</f>
        <v>1.2345679012345682E-2</v>
      </c>
      <c r="CY42" s="2">
        <f>('1'!$J42-$N42)*'2'!W42</f>
        <v>3.3950617283950629E-2</v>
      </c>
      <c r="CZ42" s="2">
        <f>('1'!$J42-$N42)*'2'!X42</f>
        <v>2.5109855618330196E-3</v>
      </c>
      <c r="DA42" s="2">
        <f>('1'!$J42-$N42)*'2'!Y42</f>
        <v>1.5432098765432104E-3</v>
      </c>
      <c r="DB42" s="2">
        <f>('1'!$J42-$N42)</f>
        <v>0.33333333333333337</v>
      </c>
      <c r="DC42" s="2">
        <f>('1'!$K42-$O42)*'2'!V42</f>
        <v>1.2345679012345682E-2</v>
      </c>
      <c r="DD42" s="2">
        <f>('1'!$K42-$O42)*'2'!W42</f>
        <v>3.3950617283950629E-2</v>
      </c>
      <c r="DE42" s="2">
        <f>('1'!$K42-$O42)*'2'!X42</f>
        <v>2.5109855618330196E-3</v>
      </c>
      <c r="DF42" s="2">
        <f>('1'!$K42-$O42)*'2'!Y42</f>
        <v>1.5432098765432104E-3</v>
      </c>
      <c r="DG42" s="2">
        <f>('1'!$K42-$O42)</f>
        <v>0.33333333333333337</v>
      </c>
    </row>
    <row r="43" spans="2:111" ht="15" x14ac:dyDescent="0.25">
      <c r="B43" s="1">
        <v>4.9000000000000004</v>
      </c>
      <c r="C43" s="1">
        <v>3.1</v>
      </c>
      <c r="D43" s="1">
        <v>1.5</v>
      </c>
      <c r="E43" s="1">
        <v>0.1</v>
      </c>
      <c r="F43" s="1" t="s">
        <v>5</v>
      </c>
      <c r="I43" s="2">
        <f>(B43-B$5)/(B$4-B$5)</f>
        <v>0.1666666666666668</v>
      </c>
      <c r="J43" s="2">
        <f>(C43-C$5)/(C$4-C$5)</f>
        <v>0.45833333333333331</v>
      </c>
      <c r="K43" s="2">
        <f>(D43-D$5)/(D$4-D$5)</f>
        <v>8.4745762711864403E-2</v>
      </c>
      <c r="L43" s="2">
        <f>(E43-E$5)/(E$4-E$5)</f>
        <v>0</v>
      </c>
      <c r="M43" s="3">
        <f>IF($F43=M$8,1,0)</f>
        <v>1</v>
      </c>
      <c r="N43" s="3">
        <f>IF($F43=N$8,1,0)</f>
        <v>0</v>
      </c>
      <c r="O43" s="3">
        <f>IF($F43=O$8,1,0)</f>
        <v>0</v>
      </c>
      <c r="CD43" s="2">
        <f ca="1">CD$2*$I43+CD$3*$J43+CD$4*$K43+CD$5*$L43+CD$6</f>
        <v>0.23502896668760531</v>
      </c>
      <c r="CE43" s="2">
        <f ca="1">CE$2*$I43+CE$3*$J43+CE$4*$K43+CE$5*$L43+CE$6</f>
        <v>5.5581126738444384E-2</v>
      </c>
      <c r="CF43" s="2">
        <f ca="1">CF$2*$I43+CF$3*$J43+CF$4*$K43+CF$5*$L43+CF$6</f>
        <v>0.24501590282683539</v>
      </c>
      <c r="CG43" s="2">
        <f t="shared" ca="1" si="4"/>
        <v>1.2649454094807229</v>
      </c>
      <c r="CH43" s="2">
        <f t="shared" ca="1" si="1"/>
        <v>1.0571547771127576</v>
      </c>
      <c r="CI43" s="2">
        <f t="shared" ca="1" si="2"/>
        <v>1.2776416311569476</v>
      </c>
      <c r="CJ43" s="2">
        <f t="shared" ca="1" si="5"/>
        <v>3.5997418177504281</v>
      </c>
      <c r="CK43" s="2">
        <f ca="1">CG43/'1'!$H43</f>
        <v>0.35538346184932118</v>
      </c>
      <c r="CL43" s="2">
        <f t="shared" ca="1" si="6"/>
        <v>0.29367516634106861</v>
      </c>
      <c r="CM43" s="2">
        <f t="shared" ca="1" si="7"/>
        <v>0.35492590742393271</v>
      </c>
      <c r="CN43" s="2">
        <f ca="1">-$M43*LOG(CK43)</f>
        <v>0.4493027864201351</v>
      </c>
      <c r="CO43" s="2">
        <f ca="1">-$N43*LOG(CL43)</f>
        <v>0</v>
      </c>
      <c r="CP43" s="2">
        <f ca="1">-$O43*LOG(CM43)</f>
        <v>0</v>
      </c>
      <c r="CQ43" s="2">
        <f t="shared" ca="1" si="8"/>
        <v>0.4493027864201351</v>
      </c>
      <c r="CR43" s="2"/>
      <c r="CS43" s="2">
        <f ca="1">(CK43-'2'!Z43)*'2'!V43</f>
        <v>4.0833571325903393E-4</v>
      </c>
      <c r="CT43" s="2">
        <f>('1'!$I43-$M43)*'2'!W43</f>
        <v>-3.3950617283950622E-2</v>
      </c>
      <c r="CU43" s="2">
        <f>('1'!$I43-$M43)*'2'!X43</f>
        <v>-6.27746390458255E-3</v>
      </c>
      <c r="CV43" s="2">
        <f>('1'!$I43-$M43)*'2'!Y43</f>
        <v>0</v>
      </c>
      <c r="CW43" s="2">
        <f>('1'!$I43-$M43)</f>
        <v>-0.66666666666666663</v>
      </c>
      <c r="CX43" s="2">
        <f>('1'!$J43-$N43)*'2'!V43</f>
        <v>6.172839506172847E-3</v>
      </c>
      <c r="CY43" s="2">
        <f>('1'!$J43-$N43)*'2'!W43</f>
        <v>1.6975308641975315E-2</v>
      </c>
      <c r="CZ43" s="2">
        <f>('1'!$J43-$N43)*'2'!X43</f>
        <v>3.1387319522912754E-3</v>
      </c>
      <c r="DA43" s="2">
        <f>('1'!$J43-$N43)*'2'!Y43</f>
        <v>0</v>
      </c>
      <c r="DB43" s="2">
        <f>('1'!$J43-$N43)</f>
        <v>0.33333333333333337</v>
      </c>
      <c r="DC43" s="2">
        <f>('1'!$K43-$O43)*'2'!V43</f>
        <v>6.172839506172847E-3</v>
      </c>
      <c r="DD43" s="2">
        <f>('1'!$K43-$O43)*'2'!W43</f>
        <v>1.6975308641975315E-2</v>
      </c>
      <c r="DE43" s="2">
        <f>('1'!$K43-$O43)*'2'!X43</f>
        <v>3.1387319522912754E-3</v>
      </c>
      <c r="DF43" s="2">
        <f>('1'!$K43-$O43)*'2'!Y43</f>
        <v>0</v>
      </c>
      <c r="DG43" s="2">
        <f>('1'!$K43-$O43)</f>
        <v>0.33333333333333337</v>
      </c>
    </row>
    <row r="44" spans="2:111" ht="15" x14ac:dyDescent="0.25">
      <c r="B44" s="1">
        <v>5</v>
      </c>
      <c r="C44" s="1">
        <v>3.2</v>
      </c>
      <c r="D44" s="1">
        <v>1.2</v>
      </c>
      <c r="E44" s="1">
        <v>0.2</v>
      </c>
      <c r="F44" s="1" t="s">
        <v>5</v>
      </c>
      <c r="I44" s="2">
        <f>(B44-B$5)/(B$4-B$5)</f>
        <v>0.19444444444444448</v>
      </c>
      <c r="J44" s="2">
        <f>(C44-C$5)/(C$4-C$5)</f>
        <v>0.5</v>
      </c>
      <c r="K44" s="2">
        <f>(D44-D$5)/(D$4-D$5)</f>
        <v>3.3898305084745756E-2</v>
      </c>
      <c r="L44" s="2">
        <f>(E44-E$5)/(E$4-E$5)</f>
        <v>4.1666666666666671E-2</v>
      </c>
      <c r="M44" s="3">
        <f>IF($F44=M$8,1,0)</f>
        <v>1</v>
      </c>
      <c r="N44" s="3">
        <f>IF($F44=N$8,1,0)</f>
        <v>0</v>
      </c>
      <c r="O44" s="3">
        <f>IF($F44=O$8,1,0)</f>
        <v>0</v>
      </c>
      <c r="CD44" s="2">
        <f ca="1">CD$2*$I44+CD$3*$J44+CD$4*$K44+CD$5*$L44+CD$6</f>
        <v>0.24961609099645998</v>
      </c>
      <c r="CE44" s="2">
        <f ca="1">CE$2*$I44+CE$3*$J44+CE$4*$K44+CE$5*$L44+CE$6</f>
        <v>4.8787927791155573E-2</v>
      </c>
      <c r="CF44" s="2">
        <f ca="1">CF$2*$I44+CF$3*$J44+CF$4*$K44+CF$5*$L44+CF$6</f>
        <v>0.25634495113532046</v>
      </c>
      <c r="CG44" s="2">
        <f t="shared" ca="1" si="4"/>
        <v>1.2835325623811571</v>
      </c>
      <c r="CH44" s="2">
        <f t="shared" ca="1" si="1"/>
        <v>1.0499976518054355</v>
      </c>
      <c r="CI44" s="2">
        <f t="shared" ca="1" si="2"/>
        <v>1.2921983963722568</v>
      </c>
      <c r="CJ44" s="2">
        <f t="shared" ca="1" si="5"/>
        <v>3.6257286105588493</v>
      </c>
      <c r="CK44" s="2">
        <f ca="1">CG44/'1'!$H44</f>
        <v>0.3584388736667547</v>
      </c>
      <c r="CL44" s="2">
        <f t="shared" ca="1" si="6"/>
        <v>0.28959631692996313</v>
      </c>
      <c r="CM44" s="2">
        <f t="shared" ca="1" si="7"/>
        <v>0.35639688878233072</v>
      </c>
      <c r="CN44" s="2">
        <f ca="1">-$M44*LOG(CK44)</f>
        <v>0.44558489604270557</v>
      </c>
      <c r="CO44" s="2">
        <f ca="1">-$N44*LOG(CL44)</f>
        <v>0</v>
      </c>
      <c r="CP44" s="2">
        <f ca="1">-$O44*LOG(CM44)</f>
        <v>0</v>
      </c>
      <c r="CQ44" s="2">
        <f t="shared" ca="1" si="8"/>
        <v>0.44558489604270557</v>
      </c>
      <c r="CR44" s="2"/>
      <c r="CS44" s="2">
        <f ca="1">(CK44-'2'!Z44)*'2'!V44</f>
        <v>5.4240364917885716E-4</v>
      </c>
      <c r="CT44" s="2">
        <f>('1'!$I44-$M44)*'2'!W44</f>
        <v>-3.7037037037037042E-2</v>
      </c>
      <c r="CU44" s="2">
        <f>('1'!$I44-$M44)*'2'!X44</f>
        <v>-2.5109855618330188E-3</v>
      </c>
      <c r="CV44" s="2">
        <f>('1'!$I44-$M44)*'2'!Y44</f>
        <v>-3.08641975308642E-3</v>
      </c>
      <c r="CW44" s="2">
        <f>('1'!$I44-$M44)</f>
        <v>-0.66666666666666674</v>
      </c>
      <c r="CX44" s="2">
        <f>('1'!$J44-$N44)*'2'!V44</f>
        <v>7.2016460905349796E-3</v>
      </c>
      <c r="CY44" s="2">
        <f>('1'!$J44-$N44)*'2'!W44</f>
        <v>1.8518518518518517E-2</v>
      </c>
      <c r="CZ44" s="2">
        <f>('1'!$J44-$N44)*'2'!X44</f>
        <v>1.2554927809165092E-3</v>
      </c>
      <c r="DA44" s="2">
        <f>('1'!$J44-$N44)*'2'!Y44</f>
        <v>1.5432098765432098E-3</v>
      </c>
      <c r="DB44" s="2">
        <f>('1'!$J44-$N44)</f>
        <v>0.33333333333333331</v>
      </c>
      <c r="DC44" s="2">
        <f>('1'!$K44-$O44)*'2'!V44</f>
        <v>7.2016460905349796E-3</v>
      </c>
      <c r="DD44" s="2">
        <f>('1'!$K44-$O44)*'2'!W44</f>
        <v>1.8518518518518517E-2</v>
      </c>
      <c r="DE44" s="2">
        <f>('1'!$K44-$O44)*'2'!X44</f>
        <v>1.2554927809165092E-3</v>
      </c>
      <c r="DF44" s="2">
        <f>('1'!$K44-$O44)*'2'!Y44</f>
        <v>1.5432098765432098E-3</v>
      </c>
      <c r="DG44" s="2">
        <f>('1'!$K44-$O44)</f>
        <v>0.33333333333333331</v>
      </c>
    </row>
    <row r="45" spans="2:111" ht="15" x14ac:dyDescent="0.25">
      <c r="B45" s="1">
        <v>5.5</v>
      </c>
      <c r="C45" s="1">
        <v>3.5</v>
      </c>
      <c r="D45" s="1">
        <v>1.3</v>
      </c>
      <c r="E45" s="1">
        <v>0.2</v>
      </c>
      <c r="F45" s="1" t="s">
        <v>5</v>
      </c>
      <c r="I45" s="2">
        <f>(B45-B$5)/(B$4-B$5)</f>
        <v>0.33333333333333331</v>
      </c>
      <c r="J45" s="2">
        <f>(C45-C$5)/(C$4-C$5)</f>
        <v>0.62499999999999989</v>
      </c>
      <c r="K45" s="2">
        <f>(D45-D$5)/(D$4-D$5)</f>
        <v>5.0847457627118647E-2</v>
      </c>
      <c r="L45" s="2">
        <f>(E45-E$5)/(E$4-E$5)</f>
        <v>4.1666666666666671E-2</v>
      </c>
      <c r="M45" s="3">
        <f>IF($F45=M$8,1,0)</f>
        <v>1</v>
      </c>
      <c r="N45" s="3">
        <f>IF($F45=N$8,1,0)</f>
        <v>0</v>
      </c>
      <c r="O45" s="3">
        <f>IF($F45=O$8,1,0)</f>
        <v>0</v>
      </c>
      <c r="CD45" s="2">
        <f ca="1">CD$2*$I45+CD$3*$J45+CD$4*$K45+CD$5*$L45+CD$6</f>
        <v>0.29960227248754995</v>
      </c>
      <c r="CE45" s="2">
        <f ca="1">CE$2*$I45+CE$3*$J45+CE$4*$K45+CE$5*$L45+CE$6</f>
        <v>3.3306289718279064E-2</v>
      </c>
      <c r="CF45" s="2">
        <f ca="1">CF$2*$I45+CF$3*$J45+CF$4*$K45+CF$5*$L45+CF$6</f>
        <v>0.32274703553350259</v>
      </c>
      <c r="CG45" s="2">
        <f t="shared" ca="1" si="4"/>
        <v>1.3493220383413291</v>
      </c>
      <c r="CH45" s="2">
        <f t="shared" ca="1" si="1"/>
        <v>1.0338671536301876</v>
      </c>
      <c r="CI45" s="2">
        <f t="shared" ca="1" si="2"/>
        <v>1.3809159840436107</v>
      </c>
      <c r="CJ45" s="2">
        <f t="shared" ca="1" si="5"/>
        <v>3.7641051760151276</v>
      </c>
      <c r="CK45" s="2">
        <f ca="1">CG45/'1'!$H45</f>
        <v>0.36637614236189187</v>
      </c>
      <c r="CL45" s="2">
        <f t="shared" ca="1" si="6"/>
        <v>0.27466478891662949</v>
      </c>
      <c r="CM45" s="2">
        <f t="shared" ca="1" si="7"/>
        <v>0.3668643460981923</v>
      </c>
      <c r="CN45" s="2">
        <f ca="1">-$M45*LOG(CK45)</f>
        <v>0.43607281441992224</v>
      </c>
      <c r="CO45" s="2">
        <f ca="1">-$N45*LOG(CL45)</f>
        <v>0</v>
      </c>
      <c r="CP45" s="2">
        <f ca="1">-$O45*LOG(CM45)</f>
        <v>0</v>
      </c>
      <c r="CQ45" s="2">
        <f t="shared" ca="1" si="8"/>
        <v>0.43607281441992224</v>
      </c>
      <c r="CR45" s="2"/>
      <c r="CS45" s="2">
        <f ca="1">(CK45-'2'!Z45)*'2'!V45</f>
        <v>1.2238077417984648E-3</v>
      </c>
      <c r="CT45" s="2">
        <f>('1'!$I45-$M45)*'2'!W45</f>
        <v>-4.6296296296296287E-2</v>
      </c>
      <c r="CU45" s="2">
        <f>('1'!$I45-$M45)*'2'!X45</f>
        <v>-3.7664783427495295E-3</v>
      </c>
      <c r="CV45" s="2">
        <f>('1'!$I45-$M45)*'2'!Y45</f>
        <v>-3.08641975308642E-3</v>
      </c>
      <c r="CW45" s="2">
        <f>('1'!$I45-$M45)</f>
        <v>-0.66666666666666674</v>
      </c>
      <c r="CX45" s="2">
        <f>('1'!$J45-$N45)*'2'!V45</f>
        <v>1.2345679012345678E-2</v>
      </c>
      <c r="CY45" s="2">
        <f>('1'!$J45-$N45)*'2'!W45</f>
        <v>2.314814814814814E-2</v>
      </c>
      <c r="CZ45" s="2">
        <f>('1'!$J45-$N45)*'2'!X45</f>
        <v>1.8832391713747645E-3</v>
      </c>
      <c r="DA45" s="2">
        <f>('1'!$J45-$N45)*'2'!Y45</f>
        <v>1.5432098765432098E-3</v>
      </c>
      <c r="DB45" s="2">
        <f>('1'!$J45-$N45)</f>
        <v>0.33333333333333331</v>
      </c>
      <c r="DC45" s="2">
        <f>('1'!$K45-$O45)*'2'!V45</f>
        <v>1.2345679012345678E-2</v>
      </c>
      <c r="DD45" s="2">
        <f>('1'!$K45-$O45)*'2'!W45</f>
        <v>2.314814814814814E-2</v>
      </c>
      <c r="DE45" s="2">
        <f>('1'!$K45-$O45)*'2'!X45</f>
        <v>1.8832391713747645E-3</v>
      </c>
      <c r="DF45" s="2">
        <f>('1'!$K45-$O45)*'2'!Y45</f>
        <v>1.5432098765432098E-3</v>
      </c>
      <c r="DG45" s="2">
        <f>('1'!$K45-$O45)</f>
        <v>0.33333333333333331</v>
      </c>
    </row>
    <row r="46" spans="2:111" ht="15" x14ac:dyDescent="0.25">
      <c r="B46" s="1">
        <v>4.9000000000000004</v>
      </c>
      <c r="C46" s="1">
        <v>3.1</v>
      </c>
      <c r="D46" s="1">
        <v>1.5</v>
      </c>
      <c r="E46" s="1">
        <v>0.1</v>
      </c>
      <c r="F46" s="1" t="s">
        <v>5</v>
      </c>
      <c r="I46" s="2">
        <f>(B46-B$5)/(B$4-B$5)</f>
        <v>0.1666666666666668</v>
      </c>
      <c r="J46" s="2">
        <f>(C46-C$5)/(C$4-C$5)</f>
        <v>0.45833333333333331</v>
      </c>
      <c r="K46" s="2">
        <f>(D46-D$5)/(D$4-D$5)</f>
        <v>8.4745762711864403E-2</v>
      </c>
      <c r="L46" s="2">
        <f>(E46-E$5)/(E$4-E$5)</f>
        <v>0</v>
      </c>
      <c r="M46" s="3">
        <f>IF($F46=M$8,1,0)</f>
        <v>1</v>
      </c>
      <c r="N46" s="3">
        <f>IF($F46=N$8,1,0)</f>
        <v>0</v>
      </c>
      <c r="O46" s="3">
        <f>IF($F46=O$8,1,0)</f>
        <v>0</v>
      </c>
      <c r="CD46" s="2">
        <f ca="1">CD$2*$I46+CD$3*$J46+CD$4*$K46+CD$5*$L46+CD$6</f>
        <v>0.23502896668760531</v>
      </c>
      <c r="CE46" s="2">
        <f ca="1">CE$2*$I46+CE$3*$J46+CE$4*$K46+CE$5*$L46+CE$6</f>
        <v>5.5581126738444384E-2</v>
      </c>
      <c r="CF46" s="2">
        <f ca="1">CF$2*$I46+CF$3*$J46+CF$4*$K46+CF$5*$L46+CF$6</f>
        <v>0.24501590282683539</v>
      </c>
      <c r="CG46" s="2">
        <f t="shared" ca="1" si="4"/>
        <v>1.2649454094807229</v>
      </c>
      <c r="CH46" s="2">
        <f t="shared" ca="1" si="1"/>
        <v>1.0571547771127576</v>
      </c>
      <c r="CI46" s="2">
        <f t="shared" ca="1" si="2"/>
        <v>1.2776416311569476</v>
      </c>
      <c r="CJ46" s="2">
        <f t="shared" ca="1" si="5"/>
        <v>3.5997418177504281</v>
      </c>
      <c r="CK46" s="2">
        <f ca="1">CG46/'1'!$H46</f>
        <v>0.35538346184932118</v>
      </c>
      <c r="CL46" s="2">
        <f t="shared" ca="1" si="6"/>
        <v>0.29367516634106861</v>
      </c>
      <c r="CM46" s="2">
        <f t="shared" ca="1" si="7"/>
        <v>0.35492590742393271</v>
      </c>
      <c r="CN46" s="2">
        <f ca="1">-$M46*LOG(CK46)</f>
        <v>0.4493027864201351</v>
      </c>
      <c r="CO46" s="2">
        <f ca="1">-$N46*LOG(CL46)</f>
        <v>0</v>
      </c>
      <c r="CP46" s="2">
        <f ca="1">-$O46*LOG(CM46)</f>
        <v>0</v>
      </c>
      <c r="CQ46" s="2">
        <f t="shared" ca="1" si="8"/>
        <v>0.4493027864201351</v>
      </c>
      <c r="CR46" s="2"/>
      <c r="CS46" s="2">
        <f ca="1">(CK46-'2'!Z46)*'2'!V46</f>
        <v>4.0833571325903393E-4</v>
      </c>
      <c r="CT46" s="2">
        <f>('1'!$I46-$M46)*'2'!W46</f>
        <v>-3.3950617283950622E-2</v>
      </c>
      <c r="CU46" s="2">
        <f>('1'!$I46-$M46)*'2'!X46</f>
        <v>-6.27746390458255E-3</v>
      </c>
      <c r="CV46" s="2">
        <f>('1'!$I46-$M46)*'2'!Y46</f>
        <v>0</v>
      </c>
      <c r="CW46" s="2">
        <f>('1'!$I46-$M46)</f>
        <v>-0.66666666666666663</v>
      </c>
      <c r="CX46" s="2">
        <f>('1'!$J46-$N46)*'2'!V46</f>
        <v>6.172839506172847E-3</v>
      </c>
      <c r="CY46" s="2">
        <f>('1'!$J46-$N46)*'2'!W46</f>
        <v>1.6975308641975315E-2</v>
      </c>
      <c r="CZ46" s="2">
        <f>('1'!$J46-$N46)*'2'!X46</f>
        <v>3.1387319522912754E-3</v>
      </c>
      <c r="DA46" s="2">
        <f>('1'!$J46-$N46)*'2'!Y46</f>
        <v>0</v>
      </c>
      <c r="DB46" s="2">
        <f>('1'!$J46-$N46)</f>
        <v>0.33333333333333337</v>
      </c>
      <c r="DC46" s="2">
        <f>('1'!$K46-$O46)*'2'!V46</f>
        <v>6.172839506172847E-3</v>
      </c>
      <c r="DD46" s="2">
        <f>('1'!$K46-$O46)*'2'!W46</f>
        <v>1.6975308641975315E-2</v>
      </c>
      <c r="DE46" s="2">
        <f>('1'!$K46-$O46)*'2'!X46</f>
        <v>3.1387319522912754E-3</v>
      </c>
      <c r="DF46" s="2">
        <f>('1'!$K46-$O46)*'2'!Y46</f>
        <v>0</v>
      </c>
      <c r="DG46" s="2">
        <f>('1'!$K46-$O46)</f>
        <v>0.33333333333333337</v>
      </c>
    </row>
    <row r="47" spans="2:111" ht="15" x14ac:dyDescent="0.25">
      <c r="B47" s="1">
        <v>4.4000000000000004</v>
      </c>
      <c r="C47" s="1">
        <v>3</v>
      </c>
      <c r="D47" s="1">
        <v>1.3</v>
      </c>
      <c r="E47" s="1">
        <v>0.2</v>
      </c>
      <c r="F47" s="1" t="s">
        <v>5</v>
      </c>
      <c r="I47" s="2">
        <f>(B47-B$5)/(B$4-B$5)</f>
        <v>2.7777777777777922E-2</v>
      </c>
      <c r="J47" s="2">
        <f>(C47-C$5)/(C$4-C$5)</f>
        <v>0.41666666666666663</v>
      </c>
      <c r="K47" s="2">
        <f>(D47-D$5)/(D$4-D$5)</f>
        <v>5.0847457627118647E-2</v>
      </c>
      <c r="L47" s="2">
        <f>(E47-E$5)/(E$4-E$5)</f>
        <v>4.1666666666666671E-2</v>
      </c>
      <c r="M47" s="3">
        <f>IF($F47=M$8,1,0)</f>
        <v>1</v>
      </c>
      <c r="N47" s="3">
        <f>IF($F47=N$8,1,0)</f>
        <v>0</v>
      </c>
      <c r="O47" s="3">
        <f>IF($F47=O$8,1,0)</f>
        <v>0</v>
      </c>
      <c r="CD47" s="2">
        <f ca="1">CD$2*$I47+CD$3*$J47+CD$4*$K47+CD$5*$L47+CD$6</f>
        <v>0.20429581070535174</v>
      </c>
      <c r="CE47" s="2">
        <f ca="1">CE$2*$I47+CE$3*$J47+CE$4*$K47+CE$5*$L47+CE$6</f>
        <v>6.209565052707116E-2</v>
      </c>
      <c r="CF47" s="2">
        <f ca="1">CF$2*$I47+CF$3*$J47+CF$4*$K47+CF$5*$L47+CF$6</f>
        <v>0.20002842223743278</v>
      </c>
      <c r="CG47" s="2">
        <f t="shared" ca="1" si="4"/>
        <v>1.2266609592362272</v>
      </c>
      <c r="CH47" s="2">
        <f t="shared" ca="1" si="1"/>
        <v>1.0640641181543542</v>
      </c>
      <c r="CI47" s="2">
        <f t="shared" ca="1" si="2"/>
        <v>1.2214374736527069</v>
      </c>
      <c r="CJ47" s="2">
        <f t="shared" ca="1" si="5"/>
        <v>3.5121625510432883</v>
      </c>
      <c r="CK47" s="2">
        <f ca="1">CG47/'1'!$H47</f>
        <v>0.35063399991193001</v>
      </c>
      <c r="CL47" s="2">
        <f t="shared" ca="1" si="6"/>
        <v>0.30296550990735716</v>
      </c>
      <c r="CM47" s="2">
        <f t="shared" ca="1" si="7"/>
        <v>0.34777361693862341</v>
      </c>
      <c r="CN47" s="2">
        <f ca="1">-$M47*LOG(CK47)</f>
        <v>0.45514597398607021</v>
      </c>
      <c r="CO47" s="2">
        <f ca="1">-$N47*LOG(CL47)</f>
        <v>0</v>
      </c>
      <c r="CP47" s="2">
        <f ca="1">-$O47*LOG(CM47)</f>
        <v>0</v>
      </c>
      <c r="CQ47" s="2">
        <f t="shared" ca="1" si="8"/>
        <v>0.45514597398607021</v>
      </c>
      <c r="CR47" s="2"/>
      <c r="CS47" s="2">
        <f ca="1">(CK47-'2'!Z47)*'2'!V47</f>
        <v>5.3397119069743144E-5</v>
      </c>
      <c r="CT47" s="2">
        <f>('1'!$I47-$M47)*'2'!W47</f>
        <v>-3.0864197530864196E-2</v>
      </c>
      <c r="CU47" s="2">
        <f>('1'!$I47-$M47)*'2'!X47</f>
        <v>-3.7664783427495295E-3</v>
      </c>
      <c r="CV47" s="2">
        <f>('1'!$I47-$M47)*'2'!Y47</f>
        <v>-3.08641975308642E-3</v>
      </c>
      <c r="CW47" s="2">
        <f>('1'!$I47-$M47)</f>
        <v>-0.66666666666666674</v>
      </c>
      <c r="CX47" s="2">
        <f>('1'!$J47-$N47)*'2'!V47</f>
        <v>1.0288065843621452E-3</v>
      </c>
      <c r="CY47" s="2">
        <f>('1'!$J47-$N47)*'2'!W47</f>
        <v>1.5432098765432094E-2</v>
      </c>
      <c r="CZ47" s="2">
        <f>('1'!$J47-$N47)*'2'!X47</f>
        <v>1.8832391713747645E-3</v>
      </c>
      <c r="DA47" s="2">
        <f>('1'!$J47-$N47)*'2'!Y47</f>
        <v>1.5432098765432098E-3</v>
      </c>
      <c r="DB47" s="2">
        <f>('1'!$J47-$N47)</f>
        <v>0.33333333333333331</v>
      </c>
      <c r="DC47" s="2">
        <f>('1'!$K47-$O47)*'2'!V47</f>
        <v>1.0288065843621452E-3</v>
      </c>
      <c r="DD47" s="2">
        <f>('1'!$K47-$O47)*'2'!W47</f>
        <v>1.5432098765432094E-2</v>
      </c>
      <c r="DE47" s="2">
        <f>('1'!$K47-$O47)*'2'!X47</f>
        <v>1.8832391713747645E-3</v>
      </c>
      <c r="DF47" s="2">
        <f>('1'!$K47-$O47)*'2'!Y47</f>
        <v>1.5432098765432098E-3</v>
      </c>
      <c r="DG47" s="2">
        <f>('1'!$K47-$O47)</f>
        <v>0.33333333333333331</v>
      </c>
    </row>
    <row r="48" spans="2:111" ht="15" x14ac:dyDescent="0.25">
      <c r="B48" s="1">
        <v>5.0999999999999996</v>
      </c>
      <c r="C48" s="1">
        <v>3.4</v>
      </c>
      <c r="D48" s="1">
        <v>1.5</v>
      </c>
      <c r="E48" s="1">
        <v>0.2</v>
      </c>
      <c r="F48" s="1" t="s">
        <v>5</v>
      </c>
      <c r="I48" s="2">
        <f>(B48-B$5)/(B$4-B$5)</f>
        <v>0.22222222222222213</v>
      </c>
      <c r="J48" s="2">
        <f>(C48-C$5)/(C$4-C$5)</f>
        <v>0.58333333333333326</v>
      </c>
      <c r="K48" s="2">
        <f>(D48-D$5)/(D$4-D$5)</f>
        <v>8.4745762711864403E-2</v>
      </c>
      <c r="L48" s="2">
        <f>(E48-E$5)/(E$4-E$5)</f>
        <v>4.1666666666666671E-2</v>
      </c>
      <c r="M48" s="3">
        <f>IF($F48=M$8,1,0)</f>
        <v>1</v>
      </c>
      <c r="N48" s="3">
        <f>IF($F48=N$8,1,0)</f>
        <v>0</v>
      </c>
      <c r="O48" s="3">
        <f>IF($F48=O$8,1,0)</f>
        <v>0</v>
      </c>
      <c r="CD48" s="2">
        <f ca="1">CD$2*$I48+CD$3*$J48+CD$4*$K48+CD$5*$L48+CD$6</f>
        <v>0.27145152125255939</v>
      </c>
      <c r="CE48" s="2">
        <f ca="1">CE$2*$I48+CE$3*$J48+CE$4*$K48+CE$5*$L48+CE$6</f>
        <v>4.1295072766131258E-2</v>
      </c>
      <c r="CF48" s="2">
        <f ca="1">CF$2*$I48+CF$3*$J48+CF$4*$K48+CF$5*$L48+CF$6</f>
        <v>0.29592225937409911</v>
      </c>
      <c r="CG48" s="2">
        <f t="shared" ca="1" si="4"/>
        <v>1.3118672726327072</v>
      </c>
      <c r="CH48" s="2">
        <f t="shared" ca="1" si="1"/>
        <v>1.0421595730885809</v>
      </c>
      <c r="CI48" s="2">
        <f t="shared" ca="1" si="2"/>
        <v>1.3443656409431735</v>
      </c>
      <c r="CJ48" s="2">
        <f t="shared" ca="1" si="5"/>
        <v>3.6983924866644613</v>
      </c>
      <c r="CK48" s="2">
        <f ca="1">CG48/'1'!$H48</f>
        <v>0.36046602676442291</v>
      </c>
      <c r="CL48" s="2">
        <f t="shared" ca="1" si="6"/>
        <v>0.28178717560301259</v>
      </c>
      <c r="CM48" s="2">
        <f t="shared" ca="1" si="7"/>
        <v>0.3634999924401322</v>
      </c>
      <c r="CN48" s="2">
        <f ca="1">-$M48*LOG(CK48)</f>
        <v>0.44313566044249442</v>
      </c>
      <c r="CO48" s="2">
        <f ca="1">-$N48*LOG(CL48)</f>
        <v>0</v>
      </c>
      <c r="CP48" s="2">
        <f ca="1">-$O48*LOG(CM48)</f>
        <v>0</v>
      </c>
      <c r="CQ48" s="2">
        <f t="shared" ca="1" si="8"/>
        <v>0.44313566044249442</v>
      </c>
      <c r="CR48" s="2"/>
      <c r="CS48" s="2">
        <f ca="1">(CK48-'2'!Z48)*'2'!V48</f>
        <v>6.699430476812242E-4</v>
      </c>
      <c r="CT48" s="2">
        <f>('1'!$I48-$M48)*'2'!W48</f>
        <v>-4.3209876543209867E-2</v>
      </c>
      <c r="CU48" s="2">
        <f>('1'!$I48-$M48)*'2'!X48</f>
        <v>-6.2774639045825474E-3</v>
      </c>
      <c r="CV48" s="2">
        <f>('1'!$I48-$M48)*'2'!Y48</f>
        <v>-3.08641975308642E-3</v>
      </c>
      <c r="CW48" s="2">
        <f>('1'!$I48-$M48)</f>
        <v>-0.66666666666666674</v>
      </c>
      <c r="CX48" s="2">
        <f>('1'!$J48-$N48)*'2'!V48</f>
        <v>8.2304526748971148E-3</v>
      </c>
      <c r="CY48" s="2">
        <f>('1'!$J48-$N48)*'2'!W48</f>
        <v>2.160493827160493E-2</v>
      </c>
      <c r="CZ48" s="2">
        <f>('1'!$J48-$N48)*'2'!X48</f>
        <v>3.1387319522912733E-3</v>
      </c>
      <c r="DA48" s="2">
        <f>('1'!$J48-$N48)*'2'!Y48</f>
        <v>1.5432098765432098E-3</v>
      </c>
      <c r="DB48" s="2">
        <f>('1'!$J48-$N48)</f>
        <v>0.33333333333333331</v>
      </c>
      <c r="DC48" s="2">
        <f>('1'!$K48-$O48)*'2'!V48</f>
        <v>8.2304526748971148E-3</v>
      </c>
      <c r="DD48" s="2">
        <f>('1'!$K48-$O48)*'2'!W48</f>
        <v>2.160493827160493E-2</v>
      </c>
      <c r="DE48" s="2">
        <f>('1'!$K48-$O48)*'2'!X48</f>
        <v>3.1387319522912733E-3</v>
      </c>
      <c r="DF48" s="2">
        <f>('1'!$K48-$O48)*'2'!Y48</f>
        <v>1.5432098765432098E-3</v>
      </c>
      <c r="DG48" s="2">
        <f>('1'!$K48-$O48)</f>
        <v>0.33333333333333331</v>
      </c>
    </row>
    <row r="49" spans="2:111" ht="15" x14ac:dyDescent="0.25">
      <c r="B49" s="1">
        <v>5</v>
      </c>
      <c r="C49" s="1">
        <v>3.5</v>
      </c>
      <c r="D49" s="1">
        <v>1.3</v>
      </c>
      <c r="E49" s="1">
        <v>0.3</v>
      </c>
      <c r="F49" s="1" t="s">
        <v>5</v>
      </c>
      <c r="I49" s="2">
        <f>(B49-B$5)/(B$4-B$5)</f>
        <v>0.19444444444444448</v>
      </c>
      <c r="J49" s="2">
        <f>(C49-C$5)/(C$4-C$5)</f>
        <v>0.62499999999999989</v>
      </c>
      <c r="K49" s="2">
        <f>(D49-D$5)/(D$4-D$5)</f>
        <v>5.0847457627118647E-2</v>
      </c>
      <c r="L49" s="2">
        <f>(E49-E$5)/(E$4-E$5)</f>
        <v>8.3333333333333329E-2</v>
      </c>
      <c r="M49" s="3">
        <f>IF($F49=M$8,1,0)</f>
        <v>1</v>
      </c>
      <c r="N49" s="3">
        <f>IF($F49=N$8,1,0)</f>
        <v>0</v>
      </c>
      <c r="O49" s="3">
        <f>IF($F49=O$8,1,0)</f>
        <v>0</v>
      </c>
      <c r="CD49" s="2">
        <f ca="1">CD$2*$I49+CD$3*$J49+CD$4*$K49+CD$5*$L49+CD$6</f>
        <v>0.27732496933235457</v>
      </c>
      <c r="CE49" s="2">
        <f ca="1">CE$2*$I49+CE$3*$J49+CE$4*$K49+CE$5*$L49+CE$6</f>
        <v>3.6680436785156534E-2</v>
      </c>
      <c r="CF49" s="2">
        <f ca="1">CF$2*$I49+CF$3*$J49+CF$4*$K49+CF$5*$L49+CF$6</f>
        <v>0.29654304877205873</v>
      </c>
      <c r="CG49" s="2">
        <f t="shared" ca="1" si="4"/>
        <v>1.3195951293126911</v>
      </c>
      <c r="CH49" s="2">
        <f t="shared" ca="1" si="1"/>
        <v>1.0373614652996959</v>
      </c>
      <c r="CI49" s="2">
        <f t="shared" ca="1" si="2"/>
        <v>1.3452004679791283</v>
      </c>
      <c r="CJ49" s="2">
        <f t="shared" ca="1" si="5"/>
        <v>3.7021570625915157</v>
      </c>
      <c r="CK49" s="2">
        <f ca="1">CG49/'1'!$H49</f>
        <v>0.36180501572051832</v>
      </c>
      <c r="CL49" s="2">
        <f t="shared" ca="1" si="6"/>
        <v>0.28020460714152989</v>
      </c>
      <c r="CM49" s="2">
        <f t="shared" ca="1" si="7"/>
        <v>0.36335586125497493</v>
      </c>
      <c r="CN49" s="2">
        <f ca="1">-$M49*LOG(CK49)</f>
        <v>0.44152541678896107</v>
      </c>
      <c r="CO49" s="2">
        <f ca="1">-$N49*LOG(CL49)</f>
        <v>0</v>
      </c>
      <c r="CP49" s="2">
        <f ca="1">-$O49*LOG(CM49)</f>
        <v>0</v>
      </c>
      <c r="CQ49" s="2">
        <f t="shared" ca="1" si="8"/>
        <v>0.44152541678896107</v>
      </c>
      <c r="CR49" s="2"/>
      <c r="CS49" s="2">
        <f ca="1">(CK49-'2'!Z49)*'2'!V49</f>
        <v>6.151289404638736E-4</v>
      </c>
      <c r="CT49" s="2">
        <f>('1'!$I49-$M49)*'2'!W49</f>
        <v>-4.6296296296296287E-2</v>
      </c>
      <c r="CU49" s="2">
        <f>('1'!$I49-$M49)*'2'!X49</f>
        <v>-3.7664783427495295E-3</v>
      </c>
      <c r="CV49" s="2">
        <f>('1'!$I49-$M49)*'2'!Y49</f>
        <v>-6.17283950617284E-3</v>
      </c>
      <c r="CW49" s="2">
        <f>('1'!$I49-$M49)</f>
        <v>-0.66666666666666674</v>
      </c>
      <c r="CX49" s="2">
        <f>('1'!$J49-$N49)*'2'!V49</f>
        <v>7.2016460905349796E-3</v>
      </c>
      <c r="CY49" s="2">
        <f>('1'!$J49-$N49)*'2'!W49</f>
        <v>2.314814814814814E-2</v>
      </c>
      <c r="CZ49" s="2">
        <f>('1'!$J49-$N49)*'2'!X49</f>
        <v>1.8832391713747645E-3</v>
      </c>
      <c r="DA49" s="2">
        <f>('1'!$J49-$N49)*'2'!Y49</f>
        <v>3.0864197530864196E-3</v>
      </c>
      <c r="DB49" s="2">
        <f>('1'!$J49-$N49)</f>
        <v>0.33333333333333331</v>
      </c>
      <c r="DC49" s="2">
        <f>('1'!$K49-$O49)*'2'!V49</f>
        <v>7.2016460905349796E-3</v>
      </c>
      <c r="DD49" s="2">
        <f>('1'!$K49-$O49)*'2'!W49</f>
        <v>2.314814814814814E-2</v>
      </c>
      <c r="DE49" s="2">
        <f>('1'!$K49-$O49)*'2'!X49</f>
        <v>1.8832391713747645E-3</v>
      </c>
      <c r="DF49" s="2">
        <f>('1'!$K49-$O49)*'2'!Y49</f>
        <v>3.0864197530864196E-3</v>
      </c>
      <c r="DG49" s="2">
        <f>('1'!$K49-$O49)</f>
        <v>0.33333333333333331</v>
      </c>
    </row>
    <row r="50" spans="2:111" ht="15" x14ac:dyDescent="0.25">
      <c r="B50" s="1">
        <v>4.5</v>
      </c>
      <c r="C50" s="1">
        <v>2.2999999999999998</v>
      </c>
      <c r="D50" s="1">
        <v>1.3</v>
      </c>
      <c r="E50" s="1">
        <v>0.3</v>
      </c>
      <c r="F50" s="1" t="s">
        <v>5</v>
      </c>
      <c r="I50" s="2">
        <f>(B50-B$5)/(B$4-B$5)</f>
        <v>5.5555555555555594E-2</v>
      </c>
      <c r="J50" s="2">
        <f>(C50-C$5)/(C$4-C$5)</f>
        <v>0.1249999999999999</v>
      </c>
      <c r="K50" s="2">
        <f>(D50-D$5)/(D$4-D$5)</f>
        <v>5.0847457627118647E-2</v>
      </c>
      <c r="L50" s="2">
        <f>(E50-E$5)/(E$4-E$5)</f>
        <v>8.3333333333333329E-2</v>
      </c>
      <c r="M50" s="3">
        <f>IF($F50=M$8,1,0)</f>
        <v>1</v>
      </c>
      <c r="N50" s="3">
        <f>IF($F50=N$8,1,0)</f>
        <v>0</v>
      </c>
      <c r="O50" s="3">
        <f>IF($F50=O$8,1,0)</f>
        <v>0</v>
      </c>
      <c r="CD50" s="2">
        <f ca="1">CD$2*$I50+CD$3*$J50+CD$4*$K50+CD$5*$L50+CD$6</f>
        <v>0.12969442587451332</v>
      </c>
      <c r="CE50" s="2">
        <f ca="1">CE$2*$I50+CE$3*$J50+CE$4*$K50+CE$5*$L50+CE$6</f>
        <v>8.509262909178672E-2</v>
      </c>
      <c r="CF50" s="2">
        <f ca="1">CF$2*$I50+CF$3*$J50+CF$4*$K50+CF$5*$L50+CF$6</f>
        <v>0.18815425707350786</v>
      </c>
      <c r="CG50" s="2">
        <f t="shared" ca="1" si="4"/>
        <v>1.1384804400012538</v>
      </c>
      <c r="CH50" s="2">
        <f t="shared" ca="1" si="1"/>
        <v>1.088817918242321</v>
      </c>
      <c r="CI50" s="2">
        <f t="shared" ca="1" si="2"/>
        <v>1.207019692315082</v>
      </c>
      <c r="CJ50" s="2">
        <f t="shared" ca="1" si="5"/>
        <v>3.4343180505586566</v>
      </c>
      <c r="CK50" s="2">
        <f ca="1">CG50/'1'!$H50</f>
        <v>0.33274079102552012</v>
      </c>
      <c r="CL50" s="2">
        <f t="shared" ca="1" si="6"/>
        <v>0.3170405018443776</v>
      </c>
      <c r="CM50" s="2">
        <f t="shared" ca="1" si="7"/>
        <v>0.35145833162386853</v>
      </c>
      <c r="CN50" s="2">
        <f ca="1">-$M50*LOG(CK50)</f>
        <v>0.47789395527370537</v>
      </c>
      <c r="CO50" s="2">
        <f ca="1">-$N50*LOG(CL50)</f>
        <v>0</v>
      </c>
      <c r="CP50" s="2">
        <f ca="1">-$O50*LOG(CM50)</f>
        <v>0</v>
      </c>
      <c r="CQ50" s="2">
        <f t="shared" ca="1" si="8"/>
        <v>0.47789395527370537</v>
      </c>
      <c r="CR50" s="2"/>
      <c r="CS50" s="2">
        <f ca="1">(CK50-'2'!Z50)*'2'!V50</f>
        <v>-3.6576685667481078E-6</v>
      </c>
      <c r="CT50" s="2">
        <f>('1'!$I50-$M50)*'2'!W50</f>
        <v>-9.2592592592592518E-3</v>
      </c>
      <c r="CU50" s="2">
        <f>('1'!$I50-$M50)*'2'!X50</f>
        <v>-3.7664783427495295E-3</v>
      </c>
      <c r="CV50" s="2">
        <f>('1'!$I50-$M50)*'2'!Y50</f>
        <v>-6.17283950617284E-3</v>
      </c>
      <c r="CW50" s="2">
        <f>('1'!$I50-$M50)</f>
        <v>-0.66666666666666674</v>
      </c>
      <c r="CX50" s="2">
        <f>('1'!$J50-$N50)*'2'!V50</f>
        <v>2.0576131687242809E-3</v>
      </c>
      <c r="CY50" s="2">
        <f>('1'!$J50-$N50)*'2'!W50</f>
        <v>4.629629629629625E-3</v>
      </c>
      <c r="CZ50" s="2">
        <f>('1'!$J50-$N50)*'2'!X50</f>
        <v>1.8832391713747645E-3</v>
      </c>
      <c r="DA50" s="2">
        <f>('1'!$J50-$N50)*'2'!Y50</f>
        <v>3.0864197530864196E-3</v>
      </c>
      <c r="DB50" s="2">
        <f>('1'!$J50-$N50)</f>
        <v>0.33333333333333331</v>
      </c>
      <c r="DC50" s="2">
        <f>('1'!$K50-$O50)*'2'!V50</f>
        <v>2.0576131687242809E-3</v>
      </c>
      <c r="DD50" s="2">
        <f>('1'!$K50-$O50)*'2'!W50</f>
        <v>4.629629629629625E-3</v>
      </c>
      <c r="DE50" s="2">
        <f>('1'!$K50-$O50)*'2'!X50</f>
        <v>1.8832391713747645E-3</v>
      </c>
      <c r="DF50" s="2">
        <f>('1'!$K50-$O50)*'2'!Y50</f>
        <v>3.0864197530864196E-3</v>
      </c>
      <c r="DG50" s="2">
        <f>('1'!$K50-$O50)</f>
        <v>0.33333333333333331</v>
      </c>
    </row>
    <row r="51" spans="2:111" ht="15" x14ac:dyDescent="0.25">
      <c r="B51" s="1">
        <v>4.4000000000000004</v>
      </c>
      <c r="C51" s="1">
        <v>3.2</v>
      </c>
      <c r="D51" s="1">
        <v>1.3</v>
      </c>
      <c r="E51" s="1">
        <v>0.2</v>
      </c>
      <c r="F51" s="1" t="s">
        <v>5</v>
      </c>
      <c r="I51" s="2">
        <f>(B51-B$5)/(B$4-B$5)</f>
        <v>2.7777777777777922E-2</v>
      </c>
      <c r="J51" s="2">
        <f>(C51-C$5)/(C$4-C$5)</f>
        <v>0.5</v>
      </c>
      <c r="K51" s="2">
        <f>(D51-D$5)/(D$4-D$5)</f>
        <v>5.0847457627118647E-2</v>
      </c>
      <c r="L51" s="2">
        <f>(E51-E$5)/(E$4-E$5)</f>
        <v>4.1666666666666671E-2</v>
      </c>
      <c r="M51" s="3">
        <f>IF($F51=M$8,1,0)</f>
        <v>1</v>
      </c>
      <c r="N51" s="3">
        <f>IF($F51=N$8,1,0)</f>
        <v>0</v>
      </c>
      <c r="O51" s="3">
        <f>IF($F51=O$8,1,0)</f>
        <v>0</v>
      </c>
      <c r="CD51" s="2">
        <f ca="1">CD$2*$I51+CD$3*$J51+CD$4*$K51+CD$5*$L51+CD$6</f>
        <v>0.22574260825909492</v>
      </c>
      <c r="CE51" s="2">
        <f ca="1">CE$2*$I51+CE$3*$J51+CE$4*$K51+CE$5*$L51+CE$6</f>
        <v>5.483233629662309E-2</v>
      </c>
      <c r="CF51" s="2">
        <f ca="1">CF$2*$I51+CF$3*$J51+CF$4*$K51+CF$5*$L51+CF$6</f>
        <v>0.21084493891413764</v>
      </c>
      <c r="CG51" s="2">
        <f t="shared" ca="1" si="4"/>
        <v>1.2532530467767948</v>
      </c>
      <c r="CH51" s="2">
        <f t="shared" ca="1" si="1"/>
        <v>1.0563634860127085</v>
      </c>
      <c r="CI51" s="2">
        <f t="shared" ca="1" si="2"/>
        <v>1.2347208830559859</v>
      </c>
      <c r="CJ51" s="2">
        <f t="shared" ca="1" si="5"/>
        <v>3.5443374158454892</v>
      </c>
      <c r="CK51" s="2">
        <f ca="1">CG51/'1'!$H51</f>
        <v>0.35526230656651259</v>
      </c>
      <c r="CL51" s="2">
        <f t="shared" ca="1" si="6"/>
        <v>0.29804258513596305</v>
      </c>
      <c r="CM51" s="2">
        <f t="shared" ca="1" si="7"/>
        <v>0.34836437341884607</v>
      </c>
      <c r="CN51" s="2">
        <f ca="1">-$M51*LOG(CK51)</f>
        <v>0.44945086883651048</v>
      </c>
      <c r="CO51" s="2">
        <f ca="1">-$N51*LOG(CL51)</f>
        <v>0</v>
      </c>
      <c r="CP51" s="2">
        <f ca="1">-$O51*LOG(CM51)</f>
        <v>0</v>
      </c>
      <c r="CQ51" s="2">
        <f t="shared" ca="1" si="8"/>
        <v>0.44945086883651048</v>
      </c>
      <c r="CR51" s="2"/>
      <c r="CS51" s="2">
        <f ca="1">(CK51-'2'!Z51)*'2'!V51</f>
        <v>6.768201615178822E-5</v>
      </c>
      <c r="CT51" s="2">
        <f>('1'!$I51-$M51)*'2'!W51</f>
        <v>-3.7037037037037042E-2</v>
      </c>
      <c r="CU51" s="2">
        <f>('1'!$I51-$M51)*'2'!X51</f>
        <v>-3.7664783427495295E-3</v>
      </c>
      <c r="CV51" s="2">
        <f>('1'!$I51-$M51)*'2'!Y51</f>
        <v>-3.08641975308642E-3</v>
      </c>
      <c r="CW51" s="2">
        <f>('1'!$I51-$M51)</f>
        <v>-0.66666666666666674</v>
      </c>
      <c r="CX51" s="2">
        <f>('1'!$J51-$N51)*'2'!V51</f>
        <v>1.0288065843621452E-3</v>
      </c>
      <c r="CY51" s="2">
        <f>('1'!$J51-$N51)*'2'!W51</f>
        <v>1.8518518518518517E-2</v>
      </c>
      <c r="CZ51" s="2">
        <f>('1'!$J51-$N51)*'2'!X51</f>
        <v>1.8832391713747645E-3</v>
      </c>
      <c r="DA51" s="2">
        <f>('1'!$J51-$N51)*'2'!Y51</f>
        <v>1.5432098765432098E-3</v>
      </c>
      <c r="DB51" s="2">
        <f>('1'!$J51-$N51)</f>
        <v>0.33333333333333331</v>
      </c>
      <c r="DC51" s="2">
        <f>('1'!$K51-$O51)*'2'!V51</f>
        <v>1.0288065843621452E-3</v>
      </c>
      <c r="DD51" s="2">
        <f>('1'!$K51-$O51)*'2'!W51</f>
        <v>1.8518518518518517E-2</v>
      </c>
      <c r="DE51" s="2">
        <f>('1'!$K51-$O51)*'2'!X51</f>
        <v>1.8832391713747645E-3</v>
      </c>
      <c r="DF51" s="2">
        <f>('1'!$K51-$O51)*'2'!Y51</f>
        <v>1.5432098765432098E-3</v>
      </c>
      <c r="DG51" s="2">
        <f>('1'!$K51-$O51)</f>
        <v>0.33333333333333331</v>
      </c>
    </row>
    <row r="52" spans="2:111" ht="15" x14ac:dyDescent="0.25">
      <c r="B52" s="1">
        <v>5</v>
      </c>
      <c r="C52" s="1">
        <v>3.5</v>
      </c>
      <c r="D52" s="1">
        <v>1.6</v>
      </c>
      <c r="E52" s="1">
        <v>0.6</v>
      </c>
      <c r="F52" s="1" t="s">
        <v>5</v>
      </c>
      <c r="I52" s="2">
        <f>(B52-B$5)/(B$4-B$5)</f>
        <v>0.19444444444444448</v>
      </c>
      <c r="J52" s="2">
        <f>(C52-C$5)/(C$4-C$5)</f>
        <v>0.62499999999999989</v>
      </c>
      <c r="K52" s="2">
        <f>(D52-D$5)/(D$4-D$5)</f>
        <v>0.10169491525423729</v>
      </c>
      <c r="L52" s="2">
        <f>(E52-E$5)/(E$4-E$5)</f>
        <v>0.20833333333333334</v>
      </c>
      <c r="M52" s="3">
        <f>IF($F52=M$8,1,0)</f>
        <v>1</v>
      </c>
      <c r="N52" s="3">
        <f>IF($F52=N$8,1,0)</f>
        <v>0</v>
      </c>
      <c r="O52" s="3">
        <f>IF($F52=O$8,1,0)</f>
        <v>0</v>
      </c>
      <c r="CD52" s="2">
        <f ca="1">CD$2*$I52+CD$3*$J52+CD$4*$K52+CD$5*$L52+CD$6</f>
        <v>0.26394101534819392</v>
      </c>
      <c r="CE52" s="2">
        <f ca="1">CE$2*$I52+CE$3*$J52+CE$4*$K52+CE$5*$L52+CE$6</f>
        <v>3.3042877804175683E-2</v>
      </c>
      <c r="CF52" s="2">
        <f ca="1">CF$2*$I52+CF$3*$J52+CF$4*$K52+CF$5*$L52+CF$6</f>
        <v>0.36846301663710163</v>
      </c>
      <c r="CG52" s="2">
        <f t="shared" ca="1" si="4"/>
        <v>1.3020513929877591</v>
      </c>
      <c r="CH52" s="2">
        <f t="shared" ca="1" si="1"/>
        <v>1.0335948565690407</v>
      </c>
      <c r="CI52" s="2">
        <f t="shared" ca="1" si="2"/>
        <v>1.4455111797756153</v>
      </c>
      <c r="CJ52" s="2">
        <f t="shared" ca="1" si="5"/>
        <v>3.7811574293324153</v>
      </c>
      <c r="CK52" s="2">
        <f ca="1">CG52/'1'!$H52</f>
        <v>0.35077210404125164</v>
      </c>
      <c r="CL52" s="2">
        <f t="shared" ca="1" si="6"/>
        <v>0.27335409220227253</v>
      </c>
      <c r="CM52" s="2">
        <f t="shared" ca="1" si="7"/>
        <v>0.38229330748358403</v>
      </c>
      <c r="CN52" s="2">
        <f ca="1">-$M52*LOG(CK52)</f>
        <v>0.45497495220074652</v>
      </c>
      <c r="CO52" s="2">
        <f ca="1">-$N52*LOG(CL52)</f>
        <v>0</v>
      </c>
      <c r="CP52" s="2">
        <f ca="1">-$O52*LOG(CM52)</f>
        <v>0</v>
      </c>
      <c r="CQ52" s="2">
        <f t="shared" ca="1" si="8"/>
        <v>0.45497495220074652</v>
      </c>
      <c r="CR52" s="2"/>
      <c r="CS52" s="2">
        <f ca="1">(CK52-'2'!Z52)*'2'!V52</f>
        <v>3.7676356467724784E-4</v>
      </c>
      <c r="CT52" s="2">
        <f>('1'!$I52-$M52)*'2'!W52</f>
        <v>-4.6296296296296287E-2</v>
      </c>
      <c r="CU52" s="2">
        <f>('1'!$I52-$M52)*'2'!X52</f>
        <v>-7.5329566854990589E-3</v>
      </c>
      <c r="CV52" s="2">
        <f>('1'!$I52-$M52)*'2'!Y52</f>
        <v>-1.54320987654321E-2</v>
      </c>
      <c r="CW52" s="2">
        <f>('1'!$I52-$M52)</f>
        <v>-0.66666666666666674</v>
      </c>
      <c r="CX52" s="2">
        <f>('1'!$J52-$N52)*'2'!V52</f>
        <v>7.2016460905349796E-3</v>
      </c>
      <c r="CY52" s="2">
        <f>('1'!$J52-$N52)*'2'!W52</f>
        <v>2.314814814814814E-2</v>
      </c>
      <c r="CZ52" s="2">
        <f>('1'!$J52-$N52)*'2'!X52</f>
        <v>3.766478342749529E-3</v>
      </c>
      <c r="DA52" s="2">
        <f>('1'!$J52-$N52)*'2'!Y52</f>
        <v>7.716049382716049E-3</v>
      </c>
      <c r="DB52" s="2">
        <f>('1'!$J52-$N52)</f>
        <v>0.33333333333333331</v>
      </c>
      <c r="DC52" s="2">
        <f>('1'!$K52-$O52)*'2'!V52</f>
        <v>7.2016460905349796E-3</v>
      </c>
      <c r="DD52" s="2">
        <f>('1'!$K52-$O52)*'2'!W52</f>
        <v>2.314814814814814E-2</v>
      </c>
      <c r="DE52" s="2">
        <f>('1'!$K52-$O52)*'2'!X52</f>
        <v>3.766478342749529E-3</v>
      </c>
      <c r="DF52" s="2">
        <f>('1'!$K52-$O52)*'2'!Y52</f>
        <v>7.716049382716049E-3</v>
      </c>
      <c r="DG52" s="2">
        <f>('1'!$K52-$O52)</f>
        <v>0.33333333333333331</v>
      </c>
    </row>
    <row r="53" spans="2:111" ht="15" x14ac:dyDescent="0.25">
      <c r="B53" s="1">
        <v>5.0999999999999996</v>
      </c>
      <c r="C53" s="1">
        <v>3.8</v>
      </c>
      <c r="D53" s="1">
        <v>1.9</v>
      </c>
      <c r="E53" s="1">
        <v>0.4</v>
      </c>
      <c r="F53" s="1" t="s">
        <v>5</v>
      </c>
      <c r="I53" s="2">
        <f>(B53-B$5)/(B$4-B$5)</f>
        <v>0.22222222222222213</v>
      </c>
      <c r="J53" s="2">
        <f>(C53-C$5)/(C$4-C$5)</f>
        <v>0.74999999999999978</v>
      </c>
      <c r="K53" s="2">
        <f>(D53-D$5)/(D$4-D$5)</f>
        <v>0.15254237288135591</v>
      </c>
      <c r="L53" s="2">
        <f>(E53-E$5)/(E$4-E$5)</f>
        <v>0.12500000000000003</v>
      </c>
      <c r="M53" s="3">
        <f>IF($F53=M$8,1,0)</f>
        <v>1</v>
      </c>
      <c r="N53" s="3">
        <f>IF($F53=N$8,1,0)</f>
        <v>0</v>
      </c>
      <c r="O53" s="3">
        <f>IF($F53=O$8,1,0)</f>
        <v>0</v>
      </c>
      <c r="CD53" s="2">
        <f ca="1">CD$2*$I53+CD$3*$J53+CD$4*$K53+CD$5*$L53+CD$6</f>
        <v>0.30315493442079189</v>
      </c>
      <c r="CE53" s="2">
        <f ca="1">CE$2*$I53+CE$3*$J53+CE$4*$K53+CE$5*$L53+CE$6</f>
        <v>2.4834685378055971E-2</v>
      </c>
      <c r="CF53" s="2">
        <f ca="1">CF$2*$I53+CF$3*$J53+CF$4*$K53+CF$5*$L53+CF$6</f>
        <v>0.37887717346047706</v>
      </c>
      <c r="CG53" s="2">
        <f t="shared" ca="1" si="4"/>
        <v>1.3541242486466158</v>
      </c>
      <c r="CH53" s="2">
        <f t="shared" ca="1" si="1"/>
        <v>1.0251456349525134</v>
      </c>
      <c r="CI53" s="2">
        <f t="shared" ca="1" si="2"/>
        <v>1.4606436189238952</v>
      </c>
      <c r="CJ53" s="2">
        <f t="shared" ca="1" si="5"/>
        <v>3.8399135025230242</v>
      </c>
      <c r="CK53" s="2">
        <f ca="1">CG53/'1'!$H53</f>
        <v>0.36043854305314682</v>
      </c>
      <c r="CL53" s="2">
        <f t="shared" ca="1" si="6"/>
        <v>0.26697102272718881</v>
      </c>
      <c r="CM53" s="2">
        <f t="shared" ca="1" si="7"/>
        <v>0.380384510735509</v>
      </c>
      <c r="CN53" s="2">
        <f ca="1">-$M53*LOG(CK53)</f>
        <v>0.44316877446244918</v>
      </c>
      <c r="CO53" s="2">
        <f ca="1">-$N53*LOG(CL53)</f>
        <v>0</v>
      </c>
      <c r="CP53" s="2">
        <f ca="1">-$O53*LOG(CM53)</f>
        <v>0</v>
      </c>
      <c r="CQ53" s="2">
        <f t="shared" ca="1" si="8"/>
        <v>0.44316877446244918</v>
      </c>
      <c r="CR53" s="2"/>
      <c r="CS53" s="2">
        <f ca="1">(CK53-'2'!Z53)*'2'!V53</f>
        <v>6.6926443752625907E-4</v>
      </c>
      <c r="CT53" s="2">
        <f>('1'!$I53-$M53)*'2'!W53</f>
        <v>-5.5555555555555539E-2</v>
      </c>
      <c r="CU53" s="2">
        <f>('1'!$I53-$M53)*'2'!X53</f>
        <v>-1.1299435028248586E-2</v>
      </c>
      <c r="CV53" s="2">
        <f>('1'!$I53-$M53)*'2'!Y53</f>
        <v>-9.2592592592592605E-3</v>
      </c>
      <c r="CW53" s="2">
        <f>('1'!$I53-$M53)</f>
        <v>-0.66666666666666674</v>
      </c>
      <c r="CX53" s="2">
        <f>('1'!$J53-$N53)*'2'!V53</f>
        <v>8.2304526748971148E-3</v>
      </c>
      <c r="CY53" s="2">
        <f>('1'!$J53-$N53)*'2'!W53</f>
        <v>2.7777777777777766E-2</v>
      </c>
      <c r="CZ53" s="2">
        <f>('1'!$J53-$N53)*'2'!X53</f>
        <v>5.649717514124292E-3</v>
      </c>
      <c r="DA53" s="2">
        <f>('1'!$J53-$N53)*'2'!Y53</f>
        <v>4.6296296296296294E-3</v>
      </c>
      <c r="DB53" s="2">
        <f>('1'!$J53-$N53)</f>
        <v>0.33333333333333331</v>
      </c>
      <c r="DC53" s="2">
        <f>('1'!$K53-$O53)*'2'!V53</f>
        <v>8.2304526748971148E-3</v>
      </c>
      <c r="DD53" s="2">
        <f>('1'!$K53-$O53)*'2'!W53</f>
        <v>2.7777777777777766E-2</v>
      </c>
      <c r="DE53" s="2">
        <f>('1'!$K53-$O53)*'2'!X53</f>
        <v>5.649717514124292E-3</v>
      </c>
      <c r="DF53" s="2">
        <f>('1'!$K53-$O53)*'2'!Y53</f>
        <v>4.6296296296296294E-3</v>
      </c>
      <c r="DG53" s="2">
        <f>('1'!$K53-$O53)</f>
        <v>0.33333333333333331</v>
      </c>
    </row>
    <row r="54" spans="2:111" ht="15" x14ac:dyDescent="0.25">
      <c r="B54" s="1">
        <v>4.8</v>
      </c>
      <c r="C54" s="1">
        <v>3</v>
      </c>
      <c r="D54" s="1">
        <v>1.4</v>
      </c>
      <c r="E54" s="1">
        <v>0.3</v>
      </c>
      <c r="F54" s="1" t="s">
        <v>5</v>
      </c>
      <c r="I54" s="2">
        <f>(B54-B$5)/(B$4-B$5)</f>
        <v>0.13888888888888887</v>
      </c>
      <c r="J54" s="2">
        <f>(C54-C$5)/(C$4-C$5)</f>
        <v>0.41666666666666663</v>
      </c>
      <c r="K54" s="2">
        <f>(D54-D$5)/(D$4-D$5)</f>
        <v>6.7796610169491511E-2</v>
      </c>
      <c r="L54" s="2">
        <f>(E54-E$5)/(E$4-E$5)</f>
        <v>8.3333333333333329E-2</v>
      </c>
      <c r="M54" s="3">
        <f>IF($F54=M$8,1,0)</f>
        <v>1</v>
      </c>
      <c r="N54" s="3">
        <f>IF($F54=N$8,1,0)</f>
        <v>0</v>
      </c>
      <c r="O54" s="3">
        <f>IF($F54=O$8,1,0)</f>
        <v>0</v>
      </c>
      <c r="CD54" s="2">
        <f ca="1">CD$2*$I54+CD$3*$J54+CD$4*$K54+CD$5*$L54+CD$6</f>
        <v>0.21499429921893703</v>
      </c>
      <c r="CE54" s="2">
        <f ca="1">CE$2*$I54+CE$3*$J54+CE$4*$K54+CE$5*$L54+CE$6</f>
        <v>5.7017285327590775E-2</v>
      </c>
      <c r="CF54" s="2">
        <f ca="1">CF$2*$I54+CF$3*$J54+CF$4*$K54+CF$5*$L54+CF$6</f>
        <v>0.25879349816977104</v>
      </c>
      <c r="CG54" s="2">
        <f t="shared" ca="1" si="4"/>
        <v>1.239854828804986</v>
      </c>
      <c r="CH54" s="2">
        <f t="shared" ca="1" si="1"/>
        <v>1.0586741097661434</v>
      </c>
      <c r="CI54" s="2">
        <f t="shared" ca="1" si="2"/>
        <v>1.2953662816990035</v>
      </c>
      <c r="CJ54" s="2">
        <f t="shared" ca="1" si="5"/>
        <v>3.5938952202701326</v>
      </c>
      <c r="CK54" s="2">
        <f ca="1">CG54/'1'!$H54</f>
        <v>0.34844093754055833</v>
      </c>
      <c r="CL54" s="2">
        <f t="shared" ca="1" si="6"/>
        <v>0.2945756748263153</v>
      </c>
      <c r="CM54" s="2">
        <f t="shared" ca="1" si="7"/>
        <v>0.36043518308294981</v>
      </c>
      <c r="CN54" s="2">
        <f ca="1">-$M54*LOG(CK54)</f>
        <v>0.45787082638675675</v>
      </c>
      <c r="CO54" s="2">
        <f ca="1">-$N54*LOG(CL54)</f>
        <v>0</v>
      </c>
      <c r="CP54" s="2">
        <f ca="1">-$O54*LOG(CM54)</f>
        <v>0</v>
      </c>
      <c r="CQ54" s="2">
        <f t="shared" ca="1" si="8"/>
        <v>0.45787082638675675</v>
      </c>
      <c r="CR54" s="2"/>
      <c r="CS54" s="2">
        <f ca="1">(CK54-'2'!Z54)*'2'!V54</f>
        <v>2.3314204023495381E-4</v>
      </c>
      <c r="CT54" s="2">
        <f>('1'!$I54-$M54)*'2'!W54</f>
        <v>-3.0864197530864196E-2</v>
      </c>
      <c r="CU54" s="2">
        <f>('1'!$I54-$M54)*'2'!X54</f>
        <v>-5.0219711236660376E-3</v>
      </c>
      <c r="CV54" s="2">
        <f>('1'!$I54-$M54)*'2'!Y54</f>
        <v>-6.17283950617284E-3</v>
      </c>
      <c r="CW54" s="2">
        <f>('1'!$I54-$M54)</f>
        <v>-0.66666666666666674</v>
      </c>
      <c r="CX54" s="2">
        <f>('1'!$J54-$N54)*'2'!V54</f>
        <v>5.1440329218106979E-3</v>
      </c>
      <c r="CY54" s="2">
        <f>('1'!$J54-$N54)*'2'!W54</f>
        <v>1.5432098765432094E-2</v>
      </c>
      <c r="CZ54" s="2">
        <f>('1'!$J54-$N54)*'2'!X54</f>
        <v>2.5109855618330183E-3</v>
      </c>
      <c r="DA54" s="2">
        <f>('1'!$J54-$N54)*'2'!Y54</f>
        <v>3.0864197530864196E-3</v>
      </c>
      <c r="DB54" s="2">
        <f>('1'!$J54-$N54)</f>
        <v>0.33333333333333331</v>
      </c>
      <c r="DC54" s="2">
        <f>('1'!$K54-$O54)*'2'!V54</f>
        <v>5.1440329218106979E-3</v>
      </c>
      <c r="DD54" s="2">
        <f>('1'!$K54-$O54)*'2'!W54</f>
        <v>1.5432098765432094E-2</v>
      </c>
      <c r="DE54" s="2">
        <f>('1'!$K54-$O54)*'2'!X54</f>
        <v>2.5109855618330183E-3</v>
      </c>
      <c r="DF54" s="2">
        <f>('1'!$K54-$O54)*'2'!Y54</f>
        <v>3.0864197530864196E-3</v>
      </c>
      <c r="DG54" s="2">
        <f>('1'!$K54-$O54)</f>
        <v>0.33333333333333331</v>
      </c>
    </row>
    <row r="55" spans="2:111" ht="15" x14ac:dyDescent="0.25">
      <c r="B55" s="1">
        <v>5.0999999999999996</v>
      </c>
      <c r="C55" s="1">
        <v>3.8</v>
      </c>
      <c r="D55" s="1">
        <v>1.6</v>
      </c>
      <c r="E55" s="1">
        <v>0.2</v>
      </c>
      <c r="F55" s="1" t="s">
        <v>5</v>
      </c>
      <c r="I55" s="2">
        <f>(B55-B$5)/(B$4-B$5)</f>
        <v>0.22222222222222213</v>
      </c>
      <c r="J55" s="2">
        <f>(C55-C$5)/(C$4-C$5)</f>
        <v>0.74999999999999978</v>
      </c>
      <c r="K55" s="2">
        <f>(D55-D$5)/(D$4-D$5)</f>
        <v>0.10169491525423729</v>
      </c>
      <c r="L55" s="2">
        <f>(E55-E$5)/(E$4-E$5)</f>
        <v>4.1666666666666671E-2</v>
      </c>
      <c r="M55" s="3">
        <f>IF($F55=M$8,1,0)</f>
        <v>1</v>
      </c>
      <c r="N55" s="3">
        <f>IF($F55=N$8,1,0)</f>
        <v>0</v>
      </c>
      <c r="O55" s="3">
        <f>IF($F55=O$8,1,0)</f>
        <v>0</v>
      </c>
      <c r="CD55" s="2">
        <f ca="1">CD$2*$I55+CD$3*$J55+CD$4*$K55+CD$5*$L55+CD$6</f>
        <v>0.31321134338513906</v>
      </c>
      <c r="CE55" s="2">
        <f ca="1">CE$2*$I55+CE$3*$J55+CE$4*$K55+CE$5*$L55+CE$6</f>
        <v>2.7014084501972499E-2</v>
      </c>
      <c r="CF55" s="2">
        <f ca="1">CF$2*$I55+CF$3*$J55+CF$4*$K55+CF$5*$L55+CF$6</f>
        <v>0.32424291047231196</v>
      </c>
      <c r="CG55" s="2">
        <f t="shared" ca="1" si="4"/>
        <v>1.3678105782002512</v>
      </c>
      <c r="CH55" s="2">
        <f t="shared" ca="1" si="1"/>
        <v>1.0273822728292354</v>
      </c>
      <c r="CI55" s="2">
        <f t="shared" ca="1" si="2"/>
        <v>1.3829832074250921</v>
      </c>
      <c r="CJ55" s="2">
        <f t="shared" ca="1" si="5"/>
        <v>3.7781760584545787</v>
      </c>
      <c r="CK55" s="2">
        <f ca="1">CG55/'1'!$H55</f>
        <v>0.36899974511124456</v>
      </c>
      <c r="CL55" s="2">
        <f t="shared" ca="1" si="6"/>
        <v>0.27192546269256568</v>
      </c>
      <c r="CM55" s="2">
        <f t="shared" ca="1" si="7"/>
        <v>0.36604519906644745</v>
      </c>
      <c r="CN55" s="2">
        <f ca="1">-$M55*LOG(CK55)</f>
        <v>0.43297393383231692</v>
      </c>
      <c r="CO55" s="2">
        <f ca="1">-$N55*LOG(CL55)</f>
        <v>0</v>
      </c>
      <c r="CP55" s="2">
        <f ca="1">-$O55*LOG(CM55)</f>
        <v>0</v>
      </c>
      <c r="CQ55" s="2">
        <f t="shared" ca="1" si="8"/>
        <v>0.43297393383231692</v>
      </c>
      <c r="CR55" s="2"/>
      <c r="CS55" s="2">
        <f ca="1">(CK55-'2'!Z55)*'2'!V55</f>
        <v>8.8065214266447474E-4</v>
      </c>
      <c r="CT55" s="2">
        <f>('1'!$I55-$M55)*'2'!W55</f>
        <v>-5.5555555555555539E-2</v>
      </c>
      <c r="CU55" s="2">
        <f>('1'!$I55-$M55)*'2'!X55</f>
        <v>-7.5329566854990589E-3</v>
      </c>
      <c r="CV55" s="2">
        <f>('1'!$I55-$M55)*'2'!Y55</f>
        <v>-3.08641975308642E-3</v>
      </c>
      <c r="CW55" s="2">
        <f>('1'!$I55-$M55)</f>
        <v>-0.66666666666666674</v>
      </c>
      <c r="CX55" s="2">
        <f>('1'!$J55-$N55)*'2'!V55</f>
        <v>8.2304526748971148E-3</v>
      </c>
      <c r="CY55" s="2">
        <f>('1'!$J55-$N55)*'2'!W55</f>
        <v>2.7777777777777766E-2</v>
      </c>
      <c r="CZ55" s="2">
        <f>('1'!$J55-$N55)*'2'!X55</f>
        <v>3.766478342749529E-3</v>
      </c>
      <c r="DA55" s="2">
        <f>('1'!$J55-$N55)*'2'!Y55</f>
        <v>1.5432098765432098E-3</v>
      </c>
      <c r="DB55" s="2">
        <f>('1'!$J55-$N55)</f>
        <v>0.33333333333333331</v>
      </c>
      <c r="DC55" s="2">
        <f>('1'!$K55-$O55)*'2'!V55</f>
        <v>8.2304526748971148E-3</v>
      </c>
      <c r="DD55" s="2">
        <f>('1'!$K55-$O55)*'2'!W55</f>
        <v>2.7777777777777766E-2</v>
      </c>
      <c r="DE55" s="2">
        <f>('1'!$K55-$O55)*'2'!X55</f>
        <v>3.766478342749529E-3</v>
      </c>
      <c r="DF55" s="2">
        <f>('1'!$K55-$O55)*'2'!Y55</f>
        <v>1.5432098765432098E-3</v>
      </c>
      <c r="DG55" s="2">
        <f>('1'!$K55-$O55)</f>
        <v>0.33333333333333331</v>
      </c>
    </row>
    <row r="56" spans="2:111" ht="15" x14ac:dyDescent="0.25">
      <c r="B56" s="1">
        <v>4.5999999999999996</v>
      </c>
      <c r="C56" s="1">
        <v>3.2</v>
      </c>
      <c r="D56" s="1">
        <v>1.4</v>
      </c>
      <c r="E56" s="1">
        <v>0.2</v>
      </c>
      <c r="F56" s="1" t="s">
        <v>5</v>
      </c>
      <c r="I56" s="2">
        <f>(B56-B$5)/(B$4-B$5)</f>
        <v>8.3333333333333273E-2</v>
      </c>
      <c r="J56" s="2">
        <f>(C56-C$5)/(C$4-C$5)</f>
        <v>0.5</v>
      </c>
      <c r="K56" s="2">
        <f>(D56-D$5)/(D$4-D$5)</f>
        <v>6.7796610169491511E-2</v>
      </c>
      <c r="L56" s="2">
        <f>(E56-E$5)/(E$4-E$5)</f>
        <v>4.1666666666666671E-2</v>
      </c>
      <c r="M56" s="3">
        <f>IF($F56=M$8,1,0)</f>
        <v>1</v>
      </c>
      <c r="N56" s="3">
        <f>IF($F56=N$8,1,0)</f>
        <v>0</v>
      </c>
      <c r="O56" s="3">
        <f>IF($F56=O$8,1,0)</f>
        <v>0</v>
      </c>
      <c r="CD56" s="2">
        <f ca="1">CD$2*$I56+CD$3*$J56+CD$4*$K56+CD$5*$L56+CD$6</f>
        <v>0.23218873853834099</v>
      </c>
      <c r="CE56" s="2">
        <f ca="1">CE$2*$I56+CE$3*$J56+CE$4*$K56+CE$5*$L56+CE$6</f>
        <v>5.3145053723783746E-2</v>
      </c>
      <c r="CF56" s="2">
        <f ca="1">CF$2*$I56+CF$3*$J56+CF$4*$K56+CF$5*$L56+CF$6</f>
        <v>0.23492843331426938</v>
      </c>
      <c r="CG56" s="2">
        <f t="shared" ca="1" si="4"/>
        <v>1.2613577731859869</v>
      </c>
      <c r="CH56" s="2">
        <f t="shared" ca="1" si="1"/>
        <v>1.0545826051592919</v>
      </c>
      <c r="CI56" s="2">
        <f t="shared" ca="1" si="2"/>
        <v>1.2648182466437836</v>
      </c>
      <c r="CJ56" s="2">
        <f t="shared" ca="1" si="5"/>
        <v>3.5807586249890626</v>
      </c>
      <c r="CK56" s="2">
        <f ca="1">CG56/'1'!$H56</f>
        <v>0.35497666958446616</v>
      </c>
      <c r="CL56" s="2">
        <f t="shared" ca="1" si="6"/>
        <v>0.29451373734036962</v>
      </c>
      <c r="CM56" s="2">
        <f t="shared" ca="1" si="7"/>
        <v>0.35322633528464853</v>
      </c>
      <c r="CN56" s="2">
        <f ca="1">-$M56*LOG(CK56)</f>
        <v>0.4498001894904981</v>
      </c>
      <c r="CO56" s="2">
        <f ca="1">-$N56*LOG(CL56)</f>
        <v>0</v>
      </c>
      <c r="CP56" s="2">
        <f ca="1">-$O56*LOG(CM56)</f>
        <v>0</v>
      </c>
      <c r="CQ56" s="2">
        <f t="shared" ca="1" si="8"/>
        <v>0.4498001894904981</v>
      </c>
      <c r="CR56" s="2"/>
      <c r="CS56" s="2">
        <f ca="1">(CK56-'2'!Z56)*'2'!V56</f>
        <v>2.0040126158456326E-4</v>
      </c>
      <c r="CT56" s="2">
        <f>('1'!$I56-$M56)*'2'!W56</f>
        <v>-3.7037037037037042E-2</v>
      </c>
      <c r="CU56" s="2">
        <f>('1'!$I56-$M56)*'2'!X56</f>
        <v>-5.0219711236660376E-3</v>
      </c>
      <c r="CV56" s="2">
        <f>('1'!$I56-$M56)*'2'!Y56</f>
        <v>-3.08641975308642E-3</v>
      </c>
      <c r="CW56" s="2">
        <f>('1'!$I56-$M56)</f>
        <v>-0.66666666666666674</v>
      </c>
      <c r="CX56" s="2">
        <f>('1'!$J56-$N56)*'2'!V56</f>
        <v>3.086419753086417E-3</v>
      </c>
      <c r="CY56" s="2">
        <f>('1'!$J56-$N56)*'2'!W56</f>
        <v>1.8518518518518517E-2</v>
      </c>
      <c r="CZ56" s="2">
        <f>('1'!$J56-$N56)*'2'!X56</f>
        <v>2.5109855618330183E-3</v>
      </c>
      <c r="DA56" s="2">
        <f>('1'!$J56-$N56)*'2'!Y56</f>
        <v>1.5432098765432098E-3</v>
      </c>
      <c r="DB56" s="2">
        <f>('1'!$J56-$N56)</f>
        <v>0.33333333333333331</v>
      </c>
      <c r="DC56" s="2">
        <f>('1'!$K56-$O56)*'2'!V56</f>
        <v>3.086419753086417E-3</v>
      </c>
      <c r="DD56" s="2">
        <f>('1'!$K56-$O56)*'2'!W56</f>
        <v>1.8518518518518517E-2</v>
      </c>
      <c r="DE56" s="2">
        <f>('1'!$K56-$O56)*'2'!X56</f>
        <v>2.5109855618330183E-3</v>
      </c>
      <c r="DF56" s="2">
        <f>('1'!$K56-$O56)*'2'!Y56</f>
        <v>1.5432098765432098E-3</v>
      </c>
      <c r="DG56" s="2">
        <f>('1'!$K56-$O56)</f>
        <v>0.33333333333333331</v>
      </c>
    </row>
    <row r="57" spans="2:111" ht="15" x14ac:dyDescent="0.25">
      <c r="B57" s="1">
        <v>5.3</v>
      </c>
      <c r="C57" s="1">
        <v>3.7</v>
      </c>
      <c r="D57" s="1">
        <v>1.5</v>
      </c>
      <c r="E57" s="1">
        <v>0.2</v>
      </c>
      <c r="F57" s="1" t="s">
        <v>5</v>
      </c>
      <c r="I57" s="2">
        <f>(B57-B$5)/(B$4-B$5)</f>
        <v>0.27777777777777773</v>
      </c>
      <c r="J57" s="2">
        <f>(C57-C$5)/(C$4-C$5)</f>
        <v>0.70833333333333326</v>
      </c>
      <c r="K57" s="2">
        <f>(D57-D$5)/(D$4-D$5)</f>
        <v>8.4745762711864403E-2</v>
      </c>
      <c r="L57" s="2">
        <f>(E57-E$5)/(E$4-E$5)</f>
        <v>4.1666666666666671E-2</v>
      </c>
      <c r="M57" s="3">
        <f>IF($F57=M$8,1,0)</f>
        <v>1</v>
      </c>
      <c r="N57" s="3">
        <f>IF($F57=N$8,1,0)</f>
        <v>0</v>
      </c>
      <c r="O57" s="3">
        <f>IF($F57=O$8,1,0)</f>
        <v>0</v>
      </c>
      <c r="CD57" s="2">
        <f ca="1">CD$2*$I57+CD$3*$J57+CD$4*$K57+CD$5*$L57+CD$6</f>
        <v>0.311201620837327</v>
      </c>
      <c r="CE57" s="2">
        <f ca="1">CE$2*$I57+CE$3*$J57+CE$4*$K57+CE$5*$L57+CE$6</f>
        <v>2.8467178650882427E-2</v>
      </c>
      <c r="CF57" s="2">
        <f ca="1">CF$2*$I57+CF$3*$J57+CF$4*$K57+CF$5*$L57+CF$6</f>
        <v>0.32954291104448508</v>
      </c>
      <c r="CG57" s="2">
        <f t="shared" ca="1" si="4"/>
        <v>1.3650644188735737</v>
      </c>
      <c r="CH57" s="2">
        <f t="shared" ca="1" si="1"/>
        <v>1.0288762411740338</v>
      </c>
      <c r="CI57" s="2">
        <f t="shared" ca="1" si="2"/>
        <v>1.3903324775803527</v>
      </c>
      <c r="CJ57" s="2">
        <f t="shared" ca="1" si="5"/>
        <v>3.7842731376279604</v>
      </c>
      <c r="CK57" s="2">
        <f ca="1">CG57/'1'!$H57</f>
        <v>0.3683716168759395</v>
      </c>
      <c r="CL57" s="2">
        <f t="shared" ca="1" si="6"/>
        <v>0.27188213000368916</v>
      </c>
      <c r="CM57" s="2">
        <f t="shared" ca="1" si="7"/>
        <v>0.36739749669650806</v>
      </c>
      <c r="CN57" s="2">
        <f ca="1">-$M57*LOG(CK57)</f>
        <v>0.43371383968320054</v>
      </c>
      <c r="CO57" s="2">
        <f ca="1">-$N57*LOG(CL57)</f>
        <v>0</v>
      </c>
      <c r="CP57" s="2">
        <f ca="1">-$O57*LOG(CM57)</f>
        <v>0</v>
      </c>
      <c r="CQ57" s="2">
        <f t="shared" ca="1" si="8"/>
        <v>0.43371383968320054</v>
      </c>
      <c r="CR57" s="2"/>
      <c r="CS57" s="2">
        <f ca="1">(CK57-'2'!Z57)*'2'!V57</f>
        <v>1.0814285044014238E-3</v>
      </c>
      <c r="CT57" s="2">
        <f>('1'!$I57-$M57)*'2'!W57</f>
        <v>-5.2469135802469133E-2</v>
      </c>
      <c r="CU57" s="2">
        <f>('1'!$I57-$M57)*'2'!X57</f>
        <v>-6.27746390458255E-3</v>
      </c>
      <c r="CV57" s="2">
        <f>('1'!$I57-$M57)*'2'!Y57</f>
        <v>-3.0864197530864204E-3</v>
      </c>
      <c r="CW57" s="2">
        <f>('1'!$I57-$M57)</f>
        <v>-0.66666666666666663</v>
      </c>
      <c r="CX57" s="2">
        <f>('1'!$J57-$N57)*'2'!V57</f>
        <v>1.0288065843621401E-2</v>
      </c>
      <c r="CY57" s="2">
        <f>('1'!$J57-$N57)*'2'!W57</f>
        <v>2.6234567901234573E-2</v>
      </c>
      <c r="CZ57" s="2">
        <f>('1'!$J57-$N57)*'2'!X57</f>
        <v>3.1387319522912754E-3</v>
      </c>
      <c r="DA57" s="2">
        <f>('1'!$J57-$N57)*'2'!Y57</f>
        <v>1.5432098765432104E-3</v>
      </c>
      <c r="DB57" s="2">
        <f>('1'!$J57-$N57)</f>
        <v>0.33333333333333337</v>
      </c>
      <c r="DC57" s="2">
        <f>('1'!$K57-$O57)*'2'!V57</f>
        <v>1.0288065843621401E-2</v>
      </c>
      <c r="DD57" s="2">
        <f>('1'!$K57-$O57)*'2'!W57</f>
        <v>2.6234567901234573E-2</v>
      </c>
      <c r="DE57" s="2">
        <f>('1'!$K57-$O57)*'2'!X57</f>
        <v>3.1387319522912754E-3</v>
      </c>
      <c r="DF57" s="2">
        <f>('1'!$K57-$O57)*'2'!Y57</f>
        <v>1.5432098765432104E-3</v>
      </c>
      <c r="DG57" s="2">
        <f>('1'!$K57-$O57)</f>
        <v>0.33333333333333337</v>
      </c>
    </row>
    <row r="58" spans="2:111" ht="15" x14ac:dyDescent="0.25">
      <c r="B58" s="1">
        <v>5</v>
      </c>
      <c r="C58" s="1">
        <v>3.3</v>
      </c>
      <c r="D58" s="1">
        <v>1.4</v>
      </c>
      <c r="E58" s="1">
        <v>0.2</v>
      </c>
      <c r="F58" s="1" t="s">
        <v>5</v>
      </c>
      <c r="I58" s="2">
        <f>(B58-B$5)/(B$4-B$5)</f>
        <v>0.19444444444444448</v>
      </c>
      <c r="J58" s="2">
        <f>(C58-C$5)/(C$4-C$5)</f>
        <v>0.54166666666666652</v>
      </c>
      <c r="K58" s="2">
        <f>(D58-D$5)/(D$4-D$5)</f>
        <v>6.7796610169491511E-2</v>
      </c>
      <c r="L58" s="2">
        <f>(E58-E$5)/(E$4-E$5)</f>
        <v>4.1666666666666671E-2</v>
      </c>
      <c r="M58" s="3">
        <f>IF($F58=M$8,1,0)</f>
        <v>1</v>
      </c>
      <c r="N58" s="3">
        <f>IF($F58=N$8,1,0)</f>
        <v>0</v>
      </c>
      <c r="O58" s="3">
        <f>IF($F58=O$8,1,0)</f>
        <v>0</v>
      </c>
      <c r="CD58" s="2">
        <f ca="1">CD$2*$I58+CD$3*$J58+CD$4*$K58+CD$5*$L58+CD$6</f>
        <v>0.25807194382351811</v>
      </c>
      <c r="CE58" s="2">
        <f ca="1">CE$2*$I58+CE$3*$J58+CE$4*$K58+CE$5*$L58+CE$6</f>
        <v>4.5647551069406281E-2</v>
      </c>
      <c r="CF58" s="2">
        <f ca="1">CF$2*$I58+CF$3*$J58+CF$4*$K58+CF$5*$L58+CF$6</f>
        <v>0.27512844496327921</v>
      </c>
      <c r="CG58" s="2">
        <f t="shared" ca="1" si="4"/>
        <v>1.2944319416575509</v>
      </c>
      <c r="CH58" s="2">
        <f t="shared" ca="1" si="1"/>
        <v>1.0467054357268255</v>
      </c>
      <c r="CI58" s="2">
        <f t="shared" ca="1" si="2"/>
        <v>1.3166997874624089</v>
      </c>
      <c r="CJ58" s="2">
        <f t="shared" ca="1" si="5"/>
        <v>3.6578371648467853</v>
      </c>
      <c r="CK58" s="2">
        <f ca="1">CG58/'1'!$H58</f>
        <v>0.35876138269707508</v>
      </c>
      <c r="CL58" s="2">
        <f t="shared" ca="1" si="6"/>
        <v>0.28615419127621788</v>
      </c>
      <c r="CM58" s="2">
        <f t="shared" ca="1" si="7"/>
        <v>0.35996675853053212</v>
      </c>
      <c r="CN58" s="2">
        <f ca="1">-$M58*LOG(CK58)</f>
        <v>0.44519431084580946</v>
      </c>
      <c r="CO58" s="2">
        <f ca="1">-$N58*LOG(CL58)</f>
        <v>0</v>
      </c>
      <c r="CP58" s="2">
        <f ca="1">-$O58*LOG(CM58)</f>
        <v>0</v>
      </c>
      <c r="CQ58" s="2">
        <f t="shared" ca="1" si="8"/>
        <v>0.44519431084580946</v>
      </c>
      <c r="CR58" s="2"/>
      <c r="CS58" s="2">
        <f ca="1">(CK58-'2'!Z58)*'2'!V58</f>
        <v>5.493714368709642E-4</v>
      </c>
      <c r="CT58" s="2">
        <f>('1'!$I58-$M58)*'2'!W58</f>
        <v>-4.0123456790123448E-2</v>
      </c>
      <c r="CU58" s="2">
        <f>('1'!$I58-$M58)*'2'!X58</f>
        <v>-5.0219711236660376E-3</v>
      </c>
      <c r="CV58" s="2">
        <f>('1'!$I58-$M58)*'2'!Y58</f>
        <v>-3.08641975308642E-3</v>
      </c>
      <c r="CW58" s="2">
        <f>('1'!$I58-$M58)</f>
        <v>-0.66666666666666674</v>
      </c>
      <c r="CX58" s="2">
        <f>('1'!$J58-$N58)*'2'!V58</f>
        <v>7.2016460905349796E-3</v>
      </c>
      <c r="CY58" s="2">
        <f>('1'!$J58-$N58)*'2'!W58</f>
        <v>2.006172839506172E-2</v>
      </c>
      <c r="CZ58" s="2">
        <f>('1'!$J58-$N58)*'2'!X58</f>
        <v>2.5109855618330183E-3</v>
      </c>
      <c r="DA58" s="2">
        <f>('1'!$J58-$N58)*'2'!Y58</f>
        <v>1.5432098765432098E-3</v>
      </c>
      <c r="DB58" s="2">
        <f>('1'!$J58-$N58)</f>
        <v>0.33333333333333331</v>
      </c>
      <c r="DC58" s="2">
        <f>('1'!$K58-$O58)*'2'!V58</f>
        <v>7.2016460905349796E-3</v>
      </c>
      <c r="DD58" s="2">
        <f>('1'!$K58-$O58)*'2'!W58</f>
        <v>2.006172839506172E-2</v>
      </c>
      <c r="DE58" s="2">
        <f>('1'!$K58-$O58)*'2'!X58</f>
        <v>2.5109855618330183E-3</v>
      </c>
      <c r="DF58" s="2">
        <f>('1'!$K58-$O58)*'2'!Y58</f>
        <v>1.5432098765432098E-3</v>
      </c>
      <c r="DG58" s="2">
        <f>('1'!$K58-$O58)</f>
        <v>0.33333333333333331</v>
      </c>
    </row>
    <row r="59" spans="2:111" ht="15" x14ac:dyDescent="0.25">
      <c r="B59" s="1">
        <v>7</v>
      </c>
      <c r="C59" s="1">
        <v>3.2</v>
      </c>
      <c r="D59" s="1">
        <v>4.7</v>
      </c>
      <c r="E59" s="1">
        <v>1.4</v>
      </c>
      <c r="F59" s="1" t="s">
        <v>6</v>
      </c>
      <c r="I59" s="2">
        <f>(B59-B$5)/(B$4-B$5)</f>
        <v>0.74999999999999989</v>
      </c>
      <c r="J59" s="2">
        <f>(C59-C$5)/(C$4-C$5)</f>
        <v>0.5</v>
      </c>
      <c r="K59" s="2">
        <f>(D59-D$5)/(D$4-D$5)</f>
        <v>0.6271186440677966</v>
      </c>
      <c r="L59" s="2">
        <f>(E59-E$5)/(E$4-E$5)</f>
        <v>0.54166666666666663</v>
      </c>
      <c r="M59" s="3">
        <f>IF($F59=M$8,1,0)</f>
        <v>0</v>
      </c>
      <c r="N59" s="3">
        <f>IF($F59=N$8,1,0)</f>
        <v>1</v>
      </c>
      <c r="O59" s="3">
        <f>IF($F59=O$8,1,0)</f>
        <v>0</v>
      </c>
      <c r="CD59" s="2">
        <f ca="1">CD$2*$I59+CD$3*$J59+CD$4*$K59+CD$5*$L59+CD$6</f>
        <v>0.24580252917849038</v>
      </c>
      <c r="CE59" s="2">
        <f ca="1">CE$2*$I59+CE$3*$J59+CE$4*$K59+CE$5*$L59+CE$6</f>
        <v>2.0558188696424368E-2</v>
      </c>
      <c r="CF59" s="2">
        <f ca="1">CF$2*$I59+CF$3*$J59+CF$4*$K59+CF$5*$L59+CF$6</f>
        <v>0.87179879727925169</v>
      </c>
      <c r="CG59" s="2">
        <f t="shared" ca="1" si="4"/>
        <v>1.2786470531258503</v>
      </c>
      <c r="CH59" s="2">
        <f t="shared" ca="1" si="1"/>
        <v>1.0207709638468345</v>
      </c>
      <c r="CI59" s="2">
        <f t="shared" ca="1" si="2"/>
        <v>2.3912082862197761</v>
      </c>
      <c r="CJ59" s="2">
        <f t="shared" ca="1" si="5"/>
        <v>4.6906263031924613</v>
      </c>
      <c r="CK59" s="2">
        <f ca="1">CG59/'1'!$H59</f>
        <v>0.30279832456856465</v>
      </c>
      <c r="CL59" s="2">
        <f t="shared" ca="1" si="6"/>
        <v>0.21761933223119762</v>
      </c>
      <c r="CM59" s="2">
        <f t="shared" ca="1" si="7"/>
        <v>0.50978443637522541</v>
      </c>
      <c r="CN59" s="2">
        <f ca="1">-$M59*LOG(CK59)</f>
        <v>0</v>
      </c>
      <c r="CO59" s="2">
        <f ca="1">-$N59*LOG(CL59)</f>
        <v>0.66230252667424117</v>
      </c>
      <c r="CP59" s="2">
        <f ca="1">-$O59*LOG(CM59)</f>
        <v>0</v>
      </c>
      <c r="CQ59" s="2">
        <f t="shared" ca="1" si="8"/>
        <v>0.66230252667424117</v>
      </c>
      <c r="CR59" s="2"/>
      <c r="CS59" s="2">
        <f ca="1">(CK59-'2'!Z59)*'2'!V59</f>
        <v>0.3231549970784105</v>
      </c>
      <c r="CT59" s="2">
        <f>('1'!$I59-$M59)*'2'!W59</f>
        <v>7.4074074074074084E-2</v>
      </c>
      <c r="CU59" s="2">
        <f>('1'!$I59-$M59)*'2'!X59</f>
        <v>9.2906465787821746E-2</v>
      </c>
      <c r="CV59" s="2">
        <f>('1'!$I59-$M59)*'2'!Y59</f>
        <v>8.0246913580246909E-2</v>
      </c>
      <c r="CW59" s="2">
        <f>('1'!$I59-$M59)</f>
        <v>0.33333333333333331</v>
      </c>
      <c r="CX59" s="2">
        <f>('1'!$J59-$N59)*'2'!V59</f>
        <v>-0.22222222222222227</v>
      </c>
      <c r="CY59" s="2">
        <f>('1'!$J59-$N59)*'2'!W59</f>
        <v>-0.1481481481481482</v>
      </c>
      <c r="CZ59" s="2">
        <f>('1'!$J59-$N59)*'2'!X59</f>
        <v>-0.18581293157564352</v>
      </c>
      <c r="DA59" s="2">
        <f>('1'!$J59-$N59)*'2'!Y59</f>
        <v>-0.16049382716049385</v>
      </c>
      <c r="DB59" s="2">
        <f>('1'!$J59-$N59)</f>
        <v>-0.66666666666666674</v>
      </c>
      <c r="DC59" s="2">
        <f>('1'!$K59-$O59)*'2'!V59</f>
        <v>0.11111111111111112</v>
      </c>
      <c r="DD59" s="2">
        <f>('1'!$K59-$O59)*'2'!W59</f>
        <v>7.4074074074074084E-2</v>
      </c>
      <c r="DE59" s="2">
        <f>('1'!$K59-$O59)*'2'!X59</f>
        <v>9.2906465787821746E-2</v>
      </c>
      <c r="DF59" s="2">
        <f>('1'!$K59-$O59)*'2'!Y59</f>
        <v>8.0246913580246909E-2</v>
      </c>
      <c r="DG59" s="2">
        <f>('1'!$K59-$O59)</f>
        <v>0.33333333333333331</v>
      </c>
    </row>
    <row r="60" spans="2:111" ht="15" x14ac:dyDescent="0.25">
      <c r="B60" s="1">
        <v>6.4</v>
      </c>
      <c r="C60" s="1">
        <v>3.2</v>
      </c>
      <c r="D60" s="1">
        <v>4.5</v>
      </c>
      <c r="E60" s="1">
        <v>1.5</v>
      </c>
      <c r="F60" s="1" t="s">
        <v>6</v>
      </c>
      <c r="I60" s="2">
        <f>(B60-B$5)/(B$4-B$5)</f>
        <v>0.58333333333333337</v>
      </c>
      <c r="J60" s="2">
        <f>(C60-C$5)/(C$4-C$5)</f>
        <v>0.5</v>
      </c>
      <c r="K60" s="2">
        <f>(D60-D$5)/(D$4-D$5)</f>
        <v>0.59322033898305082</v>
      </c>
      <c r="L60" s="2">
        <f>(E60-E$5)/(E$4-E$5)</f>
        <v>0.58333333333333337</v>
      </c>
      <c r="M60" s="3">
        <f>IF($F60=M$8,1,0)</f>
        <v>0</v>
      </c>
      <c r="N60" s="3">
        <f>IF($F60=N$8,1,0)</f>
        <v>1</v>
      </c>
      <c r="O60" s="3">
        <f>IF($F60=O$8,1,0)</f>
        <v>0</v>
      </c>
      <c r="CD60" s="2">
        <f ca="1">CD$2*$I60+CD$3*$J60+CD$4*$K60+CD$5*$L60+CD$6</f>
        <v>0.22200282034603208</v>
      </c>
      <c r="CE60" s="2">
        <f ca="1">CE$2*$I60+CE$3*$J60+CE$4*$K60+CE$5*$L60+CE$6</f>
        <v>2.4407516754615485E-2</v>
      </c>
      <c r="CF60" s="2">
        <f ca="1">CF$2*$I60+CF$3*$J60+CF$4*$K60+CF$5*$L60+CF$6</f>
        <v>0.82352163670053724</v>
      </c>
      <c r="CG60" s="2">
        <f t="shared" ca="1" si="4"/>
        <v>1.2485748992725805</v>
      </c>
      <c r="CH60" s="2">
        <f t="shared" ca="1" si="1"/>
        <v>1.024707818420205</v>
      </c>
      <c r="CI60" s="2">
        <f t="shared" ca="1" si="2"/>
        <v>2.2785098089151661</v>
      </c>
      <c r="CJ60" s="2">
        <f t="shared" ca="1" si="5"/>
        <v>4.5517925266079509</v>
      </c>
      <c r="CK60" s="2">
        <f ca="1">CG60/'1'!$H60</f>
        <v>0.30041267420497619</v>
      </c>
      <c r="CL60" s="2">
        <f t="shared" ca="1" si="6"/>
        <v>0.22512182012474749</v>
      </c>
      <c r="CM60" s="2">
        <f t="shared" ca="1" si="7"/>
        <v>0.50057417942402094</v>
      </c>
      <c r="CN60" s="2">
        <f ca="1">-$M60*LOG(CK60)</f>
        <v>0</v>
      </c>
      <c r="CO60" s="2">
        <f ca="1">-$N60*LOG(CL60)</f>
        <v>0.64758240859563598</v>
      </c>
      <c r="CP60" s="2">
        <f ca="1">-$O60*LOG(CM60)</f>
        <v>0</v>
      </c>
      <c r="CQ60" s="2">
        <f t="shared" ca="1" si="8"/>
        <v>0.64758240859563598</v>
      </c>
      <c r="CR60" s="2"/>
      <c r="CS60" s="2">
        <f ca="1">(CK60-'2'!Z60)*'2'!V60</f>
        <v>0.25072427355931481</v>
      </c>
      <c r="CT60" s="2">
        <f>('1'!$I60-$M60)*'2'!W60</f>
        <v>7.4074074074074084E-2</v>
      </c>
      <c r="CU60" s="2">
        <f>('1'!$I60-$M60)*'2'!X60</f>
        <v>8.7884494664155682E-2</v>
      </c>
      <c r="CV60" s="2">
        <f>('1'!$I60-$M60)*'2'!Y60</f>
        <v>8.6419753086419762E-2</v>
      </c>
      <c r="CW60" s="2">
        <f>('1'!$I60-$M60)</f>
        <v>0.33333333333333337</v>
      </c>
      <c r="CX60" s="2">
        <f>('1'!$J60-$N60)*'2'!V60</f>
        <v>-0.1728395061728395</v>
      </c>
      <c r="CY60" s="2">
        <f>('1'!$J60-$N60)*'2'!W60</f>
        <v>-0.14814814814814814</v>
      </c>
      <c r="CZ60" s="2">
        <f>('1'!$J60-$N60)*'2'!X60</f>
        <v>-0.17576898932831134</v>
      </c>
      <c r="DA60" s="2">
        <f>('1'!$J60-$N60)*'2'!Y60</f>
        <v>-0.1728395061728395</v>
      </c>
      <c r="DB60" s="2">
        <f>('1'!$J60-$N60)</f>
        <v>-0.66666666666666663</v>
      </c>
      <c r="DC60" s="2">
        <f>('1'!$K60-$O60)*'2'!V60</f>
        <v>8.6419753086419762E-2</v>
      </c>
      <c r="DD60" s="2">
        <f>('1'!$K60-$O60)*'2'!W60</f>
        <v>7.4074074074074084E-2</v>
      </c>
      <c r="DE60" s="2">
        <f>('1'!$K60-$O60)*'2'!X60</f>
        <v>8.7884494664155682E-2</v>
      </c>
      <c r="DF60" s="2">
        <f>('1'!$K60-$O60)*'2'!Y60</f>
        <v>8.6419753086419762E-2</v>
      </c>
      <c r="DG60" s="2">
        <f>('1'!$K60-$O60)</f>
        <v>0.33333333333333337</v>
      </c>
    </row>
    <row r="61" spans="2:111" ht="15" x14ac:dyDescent="0.25">
      <c r="B61" s="1">
        <v>6.9</v>
      </c>
      <c r="C61" s="1">
        <v>3.1</v>
      </c>
      <c r="D61" s="1">
        <v>4.9000000000000004</v>
      </c>
      <c r="E61" s="1">
        <v>1.5</v>
      </c>
      <c r="F61" s="1" t="s">
        <v>6</v>
      </c>
      <c r="I61" s="2">
        <f>(B61-B$5)/(B$4-B$5)</f>
        <v>0.72222222222222221</v>
      </c>
      <c r="J61" s="2">
        <f>(C61-C$5)/(C$4-C$5)</f>
        <v>0.45833333333333331</v>
      </c>
      <c r="K61" s="2">
        <f>(D61-D$5)/(D$4-D$5)</f>
        <v>0.66101694915254239</v>
      </c>
      <c r="L61" s="2">
        <f>(E61-E$5)/(E$4-E$5)</f>
        <v>0.58333333333333337</v>
      </c>
      <c r="M61" s="3">
        <f>IF($F61=M$8,1,0)</f>
        <v>0</v>
      </c>
      <c r="N61" s="3">
        <f>IF($F61=N$8,1,0)</f>
        <v>1</v>
      </c>
      <c r="O61" s="3">
        <f>IF($F61=O$8,1,0)</f>
        <v>0</v>
      </c>
      <c r="CD61" s="2">
        <f ca="1">CD$2*$I61+CD$3*$J61+CD$4*$K61+CD$5*$L61+CD$6</f>
        <v>0.22569408780491546</v>
      </c>
      <c r="CE61" s="2">
        <f ca="1">CE$2*$I61+CE$3*$J61+CE$4*$K61+CE$5*$L61+CE$6</f>
        <v>2.4189427732847171E-2</v>
      </c>
      <c r="CF61" s="2">
        <f ca="1">CF$2*$I61+CF$3*$J61+CF$4*$K61+CF$5*$L61+CF$6</f>
        <v>0.88835354097971919</v>
      </c>
      <c r="CG61" s="2">
        <f t="shared" ca="1" si="4"/>
        <v>1.2531922398449653</v>
      </c>
      <c r="CH61" s="2">
        <f t="shared" ca="1" si="1"/>
        <v>1.0244843652617135</v>
      </c>
      <c r="CI61" s="2">
        <f t="shared" ca="1" si="2"/>
        <v>2.4311236089072374</v>
      </c>
      <c r="CJ61" s="2">
        <f t="shared" ca="1" si="5"/>
        <v>4.708800214013916</v>
      </c>
      <c r="CK61" s="2">
        <f ca="1">CG61/'1'!$H61</f>
        <v>0.29658874857702799</v>
      </c>
      <c r="CL61" s="2">
        <f t="shared" ca="1" si="6"/>
        <v>0.2175680255477252</v>
      </c>
      <c r="CM61" s="2">
        <f t="shared" ca="1" si="7"/>
        <v>0.51629364135516764</v>
      </c>
      <c r="CN61" s="2">
        <f ca="1">-$M61*LOG(CK61)</f>
        <v>0</v>
      </c>
      <c r="CO61" s="2">
        <f ca="1">-$N61*LOG(CL61)</f>
        <v>0.66240492950935015</v>
      </c>
      <c r="CP61" s="2">
        <f ca="1">-$O61*LOG(CM61)</f>
        <v>0</v>
      </c>
      <c r="CQ61" s="2">
        <f t="shared" ca="1" si="8"/>
        <v>0.66240492950935015</v>
      </c>
      <c r="CR61" s="2"/>
      <c r="CS61" s="2">
        <f ca="1">(CK61-'2'!Z61)*'2'!V61</f>
        <v>0.30919309625106245</v>
      </c>
      <c r="CT61" s="2">
        <f>('1'!$I61-$M61)*'2'!W61</f>
        <v>6.7901234567901231E-2</v>
      </c>
      <c r="CU61" s="2">
        <f>('1'!$I61-$M61)*'2'!X61</f>
        <v>9.7928436911487754E-2</v>
      </c>
      <c r="CV61" s="2">
        <f>('1'!$I61-$M61)*'2'!Y61</f>
        <v>8.6419753086419762E-2</v>
      </c>
      <c r="CW61" s="2">
        <f>('1'!$I61-$M61)</f>
        <v>0.33333333333333337</v>
      </c>
      <c r="CX61" s="2">
        <f>('1'!$J61-$N61)*'2'!V61</f>
        <v>-0.21399176954732507</v>
      </c>
      <c r="CY61" s="2">
        <f>('1'!$J61-$N61)*'2'!W61</f>
        <v>-0.13580246913580243</v>
      </c>
      <c r="CZ61" s="2">
        <f>('1'!$J61-$N61)*'2'!X61</f>
        <v>-0.19585687382297548</v>
      </c>
      <c r="DA61" s="2">
        <f>('1'!$J61-$N61)*'2'!Y61</f>
        <v>-0.1728395061728395</v>
      </c>
      <c r="DB61" s="2">
        <f>('1'!$J61-$N61)</f>
        <v>-0.66666666666666663</v>
      </c>
      <c r="DC61" s="2">
        <f>('1'!$K61-$O61)*'2'!V61</f>
        <v>0.10699588477366256</v>
      </c>
      <c r="DD61" s="2">
        <f>('1'!$K61-$O61)*'2'!W61</f>
        <v>6.7901234567901231E-2</v>
      </c>
      <c r="DE61" s="2">
        <f>('1'!$K61-$O61)*'2'!X61</f>
        <v>9.7928436911487754E-2</v>
      </c>
      <c r="DF61" s="2">
        <f>('1'!$K61-$O61)*'2'!Y61</f>
        <v>8.6419753086419762E-2</v>
      </c>
      <c r="DG61" s="2">
        <f>('1'!$K61-$O61)</f>
        <v>0.33333333333333337</v>
      </c>
    </row>
    <row r="62" spans="2:111" ht="15" x14ac:dyDescent="0.25">
      <c r="B62" s="1">
        <v>5.5</v>
      </c>
      <c r="C62" s="1">
        <v>2.2999999999999998</v>
      </c>
      <c r="D62" s="1">
        <v>4</v>
      </c>
      <c r="E62" s="1">
        <v>1.3</v>
      </c>
      <c r="F62" s="1" t="s">
        <v>6</v>
      </c>
      <c r="I62" s="2">
        <f>(B62-B$5)/(B$4-B$5)</f>
        <v>0.33333333333333331</v>
      </c>
      <c r="J62" s="2">
        <f>(C62-C$5)/(C$4-C$5)</f>
        <v>0.1249999999999999</v>
      </c>
      <c r="K62" s="2">
        <f>(D62-D$5)/(D$4-D$5)</f>
        <v>0.50847457627118642</v>
      </c>
      <c r="L62" s="2">
        <f>(E62-E$5)/(E$4-E$5)</f>
        <v>0.5</v>
      </c>
      <c r="M62" s="3">
        <f>IF($F62=M$8,1,0)</f>
        <v>0</v>
      </c>
      <c r="N62" s="3">
        <f>IF($F62=N$8,1,0)</f>
        <v>1</v>
      </c>
      <c r="O62" s="3">
        <f>IF($F62=O$8,1,0)</f>
        <v>0</v>
      </c>
      <c r="CD62" s="2">
        <f ca="1">CD$2*$I62+CD$3*$J62+CD$4*$K62+CD$5*$L62+CD$6</f>
        <v>0.10370662162466066</v>
      </c>
      <c r="CE62" s="2">
        <f ca="1">CE$2*$I62+CE$3*$J62+CE$4*$K62+CE$5*$L62+CE$6</f>
        <v>6.7478701985168824E-2</v>
      </c>
      <c r="CF62" s="2">
        <f ca="1">CF$2*$I62+CF$3*$J62+CF$4*$K62+CF$5*$L62+CF$6</f>
        <v>0.62855636822861483</v>
      </c>
      <c r="CG62" s="2">
        <f t="shared" ca="1" si="4"/>
        <v>1.109274969884313</v>
      </c>
      <c r="CH62" s="2">
        <f t="shared" ca="1" si="1"/>
        <v>1.069807474579805</v>
      </c>
      <c r="CI62" s="2">
        <f t="shared" ca="1" si="2"/>
        <v>1.8749019565751275</v>
      </c>
      <c r="CJ62" s="2">
        <f t="shared" ca="1" si="5"/>
        <v>4.0539844010392461</v>
      </c>
      <c r="CK62" s="2">
        <f ca="1">CG62/'1'!$H62</f>
        <v>0.28892548600598522</v>
      </c>
      <c r="CL62" s="2">
        <f t="shared" ca="1" si="6"/>
        <v>0.26389037765057949</v>
      </c>
      <c r="CM62" s="2">
        <f t="shared" ca="1" si="7"/>
        <v>0.46248376192431651</v>
      </c>
      <c r="CN62" s="2">
        <f ca="1">-$M62*LOG(CK62)</f>
        <v>0</v>
      </c>
      <c r="CO62" s="2">
        <f ca="1">-$N62*LOG(CL62)</f>
        <v>0.57857644535950503</v>
      </c>
      <c r="CP62" s="2">
        <f ca="1">-$O62*LOG(CM62)</f>
        <v>0</v>
      </c>
      <c r="CQ62" s="2">
        <f t="shared" ca="1" si="8"/>
        <v>0.57857644535950503</v>
      </c>
      <c r="CR62" s="2"/>
      <c r="CS62" s="2">
        <f ca="1">(CK62-'2'!Z62)*'2'!V62</f>
        <v>0.14156920780335586</v>
      </c>
      <c r="CT62" s="2">
        <f>('1'!$I62-$M62)*'2'!W62</f>
        <v>1.8518518518518507E-2</v>
      </c>
      <c r="CU62" s="2">
        <f>('1'!$I62-$M62)*'2'!X62</f>
        <v>7.5329566854990593E-2</v>
      </c>
      <c r="CV62" s="2">
        <f>('1'!$I62-$M62)*'2'!Y62</f>
        <v>7.4074074074074084E-2</v>
      </c>
      <c r="CW62" s="2">
        <f>('1'!$I62-$M62)</f>
        <v>0.33333333333333331</v>
      </c>
      <c r="CX62" s="2">
        <f>('1'!$J62-$N62)*'2'!V62</f>
        <v>-9.8765432098765454E-2</v>
      </c>
      <c r="CY62" s="2">
        <f>('1'!$J62-$N62)*'2'!W62</f>
        <v>-3.7037037037037021E-2</v>
      </c>
      <c r="CZ62" s="2">
        <f>('1'!$J62-$N62)*'2'!X62</f>
        <v>-0.15065913370998121</v>
      </c>
      <c r="DA62" s="2">
        <f>('1'!$J62-$N62)*'2'!Y62</f>
        <v>-0.1481481481481482</v>
      </c>
      <c r="DB62" s="2">
        <f>('1'!$J62-$N62)</f>
        <v>-0.66666666666666674</v>
      </c>
      <c r="DC62" s="2">
        <f>('1'!$K62-$O62)*'2'!V62</f>
        <v>4.938271604938272E-2</v>
      </c>
      <c r="DD62" s="2">
        <f>('1'!$K62-$O62)*'2'!W62</f>
        <v>1.8518518518518507E-2</v>
      </c>
      <c r="DE62" s="2">
        <f>('1'!$K62-$O62)*'2'!X62</f>
        <v>7.5329566854990593E-2</v>
      </c>
      <c r="DF62" s="2">
        <f>('1'!$K62-$O62)*'2'!Y62</f>
        <v>7.4074074074074084E-2</v>
      </c>
      <c r="DG62" s="2">
        <f>('1'!$K62-$O62)</f>
        <v>0.33333333333333331</v>
      </c>
    </row>
    <row r="63" spans="2:111" ht="15" x14ac:dyDescent="0.25">
      <c r="B63" s="1">
        <v>6.5</v>
      </c>
      <c r="C63" s="1">
        <v>2.8</v>
      </c>
      <c r="D63" s="1">
        <v>4.5999999999999996</v>
      </c>
      <c r="E63" s="1">
        <v>1.5</v>
      </c>
      <c r="F63" s="1" t="s">
        <v>6</v>
      </c>
      <c r="I63" s="2">
        <f>(B63-B$5)/(B$4-B$5)</f>
        <v>0.61111111111111105</v>
      </c>
      <c r="J63" s="2">
        <f>(C63-C$5)/(C$4-C$5)</f>
        <v>0.3333333333333332</v>
      </c>
      <c r="K63" s="2">
        <f>(D63-D$5)/(D$4-D$5)</f>
        <v>0.61016949152542366</v>
      </c>
      <c r="L63" s="2">
        <f>(E63-E$5)/(E$4-E$5)</f>
        <v>0.58333333333333337</v>
      </c>
      <c r="M63" s="3">
        <f>IF($F63=M$8,1,0)</f>
        <v>0</v>
      </c>
      <c r="N63" s="3">
        <f>IF($F63=N$8,1,0)</f>
        <v>1</v>
      </c>
      <c r="O63" s="3">
        <f>IF($F63=O$8,1,0)</f>
        <v>0</v>
      </c>
      <c r="CD63" s="2">
        <f ca="1">CD$2*$I63+CD$3*$J63+CD$4*$K63+CD$5*$L63+CD$6</f>
        <v>0.18176540389071522</v>
      </c>
      <c r="CE63" s="2">
        <f ca="1">CE$2*$I63+CE$3*$J63+CE$4*$K63+CE$5*$L63+CE$6</f>
        <v>3.8213324027460631E-2</v>
      </c>
      <c r="CF63" s="2">
        <f ca="1">CF$2*$I63+CF$3*$J63+CF$4*$K63+CF$5*$L63+CF$6</f>
        <v>0.81727415941959503</v>
      </c>
      <c r="CG63" s="2">
        <f t="shared" ca="1" si="4"/>
        <v>1.1993328020653442</v>
      </c>
      <c r="CH63" s="2">
        <f t="shared" ca="1" si="1"/>
        <v>1.0389528428450694</v>
      </c>
      <c r="CI63" s="2">
        <f t="shared" ca="1" si="2"/>
        <v>2.2643192444201388</v>
      </c>
      <c r="CJ63" s="2">
        <f t="shared" ca="1" si="5"/>
        <v>4.5026048893305521</v>
      </c>
      <c r="CK63" s="2">
        <f ca="1">CG63/'1'!$H63</f>
        <v>0.29210509949147345</v>
      </c>
      <c r="CL63" s="2">
        <f t="shared" ca="1" si="6"/>
        <v>0.23074483957208625</v>
      </c>
      <c r="CM63" s="2">
        <f t="shared" ca="1" si="7"/>
        <v>0.50289094870076378</v>
      </c>
      <c r="CN63" s="2">
        <f ca="1">-$M63*LOG(CK63)</f>
        <v>0</v>
      </c>
      <c r="CO63" s="2">
        <f ca="1">-$N63*LOG(CL63)</f>
        <v>0.6368680028499496</v>
      </c>
      <c r="CP63" s="2">
        <f ca="1">-$O63*LOG(CM63)</f>
        <v>0</v>
      </c>
      <c r="CQ63" s="2">
        <f t="shared" ca="1" si="8"/>
        <v>0.6368680028499496</v>
      </c>
      <c r="CR63" s="2"/>
      <c r="CS63" s="2">
        <f ca="1">(CK63-'2'!Z63)*'2'!V63</f>
        <v>0.26040714636393919</v>
      </c>
      <c r="CT63" s="2">
        <f>('1'!$I63-$M63)*'2'!W63</f>
        <v>4.9382716049382699E-2</v>
      </c>
      <c r="CU63" s="2">
        <f>('1'!$I63-$M63)*'2'!X63</f>
        <v>9.0395480225988686E-2</v>
      </c>
      <c r="CV63" s="2">
        <f>('1'!$I63-$M63)*'2'!Y63</f>
        <v>8.6419753086419762E-2</v>
      </c>
      <c r="CW63" s="2">
        <f>('1'!$I63-$M63)</f>
        <v>0.33333333333333337</v>
      </c>
      <c r="CX63" s="2">
        <f>('1'!$J63-$N63)*'2'!V63</f>
        <v>-0.18106995884773658</v>
      </c>
      <c r="CY63" s="2">
        <f>('1'!$J63-$N63)*'2'!W63</f>
        <v>-9.8765432098765385E-2</v>
      </c>
      <c r="CZ63" s="2">
        <f>('1'!$J63-$N63)*'2'!X63</f>
        <v>-0.18079096045197734</v>
      </c>
      <c r="DA63" s="2">
        <f>('1'!$J63-$N63)*'2'!Y63</f>
        <v>-0.1728395061728395</v>
      </c>
      <c r="DB63" s="2">
        <f>('1'!$J63-$N63)</f>
        <v>-0.66666666666666663</v>
      </c>
      <c r="DC63" s="2">
        <f>('1'!$K63-$O63)*'2'!V63</f>
        <v>9.0534979423868303E-2</v>
      </c>
      <c r="DD63" s="2">
        <f>('1'!$K63-$O63)*'2'!W63</f>
        <v>4.9382716049382699E-2</v>
      </c>
      <c r="DE63" s="2">
        <f>('1'!$K63-$O63)*'2'!X63</f>
        <v>9.0395480225988686E-2</v>
      </c>
      <c r="DF63" s="2">
        <f>('1'!$K63-$O63)*'2'!Y63</f>
        <v>8.6419753086419762E-2</v>
      </c>
      <c r="DG63" s="2">
        <f>('1'!$K63-$O63)</f>
        <v>0.33333333333333337</v>
      </c>
    </row>
    <row r="64" spans="2:111" ht="15" x14ac:dyDescent="0.25">
      <c r="B64" s="1">
        <v>5.7</v>
      </c>
      <c r="C64" s="1">
        <v>2.8</v>
      </c>
      <c r="D64" s="1">
        <v>4.5</v>
      </c>
      <c r="E64" s="1">
        <v>1.3</v>
      </c>
      <c r="F64" s="1" t="s">
        <v>6</v>
      </c>
      <c r="I64" s="2">
        <f>(B64-B$5)/(B$4-B$5)</f>
        <v>0.38888888888888895</v>
      </c>
      <c r="J64" s="2">
        <f>(C64-C$5)/(C$4-C$5)</f>
        <v>0.3333333333333332</v>
      </c>
      <c r="K64" s="2">
        <f>(D64-D$5)/(D$4-D$5)</f>
        <v>0.59322033898305082</v>
      </c>
      <c r="L64" s="2">
        <f>(E64-E$5)/(E$4-E$5)</f>
        <v>0.5</v>
      </c>
      <c r="M64" s="3">
        <f>IF($F64=M$8,1,0)</f>
        <v>0</v>
      </c>
      <c r="N64" s="3">
        <f>IF($F64=N$8,1,0)</f>
        <v>1</v>
      </c>
      <c r="O64" s="3">
        <f>IF($F64=O$8,1,0)</f>
        <v>0</v>
      </c>
      <c r="CD64" s="2">
        <f ca="1">CD$2*$I64+CD$3*$J64+CD$4*$K64+CD$5*$L64+CD$6</f>
        <v>0.15923465388863789</v>
      </c>
      <c r="CE64" s="2">
        <f ca="1">CE$2*$I64+CE$3*$J64+CE$4*$K64+CE$5*$L64+CE$6</f>
        <v>4.8615694623158776E-2</v>
      </c>
      <c r="CF64" s="2">
        <f ca="1">CF$2*$I64+CF$3*$J64+CF$4*$K64+CF$5*$L64+CF$6</f>
        <v>0.70643162529972159</v>
      </c>
      <c r="CG64" s="2">
        <f t="shared" ca="1" si="4"/>
        <v>1.1726130726171271</v>
      </c>
      <c r="CH64" s="2">
        <f t="shared" ca="1" si="1"/>
        <v>1.0498168229562856</v>
      </c>
      <c r="CI64" s="2">
        <f t="shared" ca="1" si="2"/>
        <v>2.0267461500178166</v>
      </c>
      <c r="CJ64" s="2">
        <f t="shared" ca="1" si="5"/>
        <v>4.2491760455912289</v>
      </c>
      <c r="CK64" s="2">
        <f ca="1">CG64/'1'!$H64</f>
        <v>0.2949581223367036</v>
      </c>
      <c r="CL64" s="2">
        <f t="shared" ca="1" si="6"/>
        <v>0.24706362167449678</v>
      </c>
      <c r="CM64" s="2">
        <f t="shared" ca="1" si="7"/>
        <v>0.47697391877201356</v>
      </c>
      <c r="CN64" s="2">
        <f ca="1">-$M64*LOG(CK64)</f>
        <v>0</v>
      </c>
      <c r="CO64" s="2">
        <f ca="1">-$N64*LOG(CL64)</f>
        <v>0.60719119660159115</v>
      </c>
      <c r="CP64" s="2">
        <f ca="1">-$O64*LOG(CM64)</f>
        <v>0</v>
      </c>
      <c r="CQ64" s="2">
        <f t="shared" ca="1" si="8"/>
        <v>0.60719119660159115</v>
      </c>
      <c r="CR64" s="2"/>
      <c r="CS64" s="2">
        <f ca="1">(CK64-'2'!Z64)*'2'!V64</f>
        <v>0.16620675365490359</v>
      </c>
      <c r="CT64" s="2">
        <f>('1'!$I64-$M64)*'2'!W64</f>
        <v>4.9382716049382699E-2</v>
      </c>
      <c r="CU64" s="2">
        <f>('1'!$I64-$M64)*'2'!X64</f>
        <v>8.7884494664155682E-2</v>
      </c>
      <c r="CV64" s="2">
        <f>('1'!$I64-$M64)*'2'!Y64</f>
        <v>7.4074074074074084E-2</v>
      </c>
      <c r="CW64" s="2">
        <f>('1'!$I64-$M64)</f>
        <v>0.33333333333333331</v>
      </c>
      <c r="CX64" s="2">
        <f>('1'!$J64-$N64)*'2'!V64</f>
        <v>-0.11522633744855973</v>
      </c>
      <c r="CY64" s="2">
        <f>('1'!$J64-$N64)*'2'!W64</f>
        <v>-9.8765432098765413E-2</v>
      </c>
      <c r="CZ64" s="2">
        <f>('1'!$J64-$N64)*'2'!X64</f>
        <v>-0.17576898932831139</v>
      </c>
      <c r="DA64" s="2">
        <f>('1'!$J64-$N64)*'2'!Y64</f>
        <v>-0.1481481481481482</v>
      </c>
      <c r="DB64" s="2">
        <f>('1'!$J64-$N64)</f>
        <v>-0.66666666666666674</v>
      </c>
      <c r="DC64" s="2">
        <f>('1'!$K64-$O64)*'2'!V64</f>
        <v>5.7613168724279858E-2</v>
      </c>
      <c r="DD64" s="2">
        <f>('1'!$K64-$O64)*'2'!W64</f>
        <v>4.9382716049382699E-2</v>
      </c>
      <c r="DE64" s="2">
        <f>('1'!$K64-$O64)*'2'!X64</f>
        <v>8.7884494664155682E-2</v>
      </c>
      <c r="DF64" s="2">
        <f>('1'!$K64-$O64)*'2'!Y64</f>
        <v>7.4074074074074084E-2</v>
      </c>
      <c r="DG64" s="2">
        <f>('1'!$K64-$O64)</f>
        <v>0.33333333333333331</v>
      </c>
    </row>
    <row r="65" spans="2:111" ht="15" x14ac:dyDescent="0.25">
      <c r="B65" s="1">
        <v>6.3</v>
      </c>
      <c r="C65" s="1">
        <v>3.3</v>
      </c>
      <c r="D65" s="1">
        <v>4.7</v>
      </c>
      <c r="E65" s="1">
        <v>1.6</v>
      </c>
      <c r="F65" s="1" t="s">
        <v>6</v>
      </c>
      <c r="I65" s="2">
        <f>(B65-B$5)/(B$4-B$5)</f>
        <v>0.55555555555555547</v>
      </c>
      <c r="J65" s="2">
        <f>(C65-C$5)/(C$4-C$5)</f>
        <v>0.54166666666666652</v>
      </c>
      <c r="K65" s="2">
        <f>(D65-D$5)/(D$4-D$5)</f>
        <v>0.6271186440677966</v>
      </c>
      <c r="L65" s="2">
        <f>(E65-E$5)/(E$4-E$5)</f>
        <v>0.625</v>
      </c>
      <c r="M65" s="3">
        <f>IF($F65=M$8,1,0)</f>
        <v>0</v>
      </c>
      <c r="N65" s="3">
        <f>IF($F65=N$8,1,0)</f>
        <v>1</v>
      </c>
      <c r="O65" s="3">
        <f>IF($F65=O$8,1,0)</f>
        <v>0</v>
      </c>
      <c r="CD65" s="2">
        <f ca="1">CD$2*$I65+CD$3*$J65+CD$4*$K65+CD$5*$L65+CD$6</f>
        <v>0.22334117652620028</v>
      </c>
      <c r="CE65" s="2">
        <f ca="1">CE$2*$I65+CE$3*$J65+CE$4*$K65+CE$5*$L65+CE$6</f>
        <v>2.0775441560590233E-2</v>
      </c>
      <c r="CF65" s="2">
        <f ca="1">CF$2*$I65+CF$3*$J65+CF$4*$K65+CF$5*$L65+CF$6</f>
        <v>0.85089289707770943</v>
      </c>
      <c r="CG65" s="2">
        <f t="shared" ca="1" si="4"/>
        <v>1.250247055926424</v>
      </c>
      <c r="CH65" s="2">
        <f t="shared" ca="1" si="1"/>
        <v>1.020992753353718</v>
      </c>
      <c r="CI65" s="2">
        <f t="shared" ca="1" si="2"/>
        <v>2.3417368487000969</v>
      </c>
      <c r="CJ65" s="2">
        <f t="shared" ca="1" si="5"/>
        <v>4.6129766579802389</v>
      </c>
      <c r="CK65" s="2">
        <f ca="1">CG65/'1'!$H65</f>
        <v>0.2981360959922571</v>
      </c>
      <c r="CL65" s="2">
        <f t="shared" ca="1" si="6"/>
        <v>0.22133057005338347</v>
      </c>
      <c r="CM65" s="2">
        <f t="shared" ca="1" si="7"/>
        <v>0.50764116585090435</v>
      </c>
      <c r="CN65" s="2">
        <f ca="1">-$M65*LOG(CK65)</f>
        <v>0</v>
      </c>
      <c r="CO65" s="2">
        <f ca="1">-$N65*LOG(CL65)</f>
        <v>0.65495859742118812</v>
      </c>
      <c r="CP65" s="2">
        <f ca="1">-$O65*LOG(CM65)</f>
        <v>0</v>
      </c>
      <c r="CQ65" s="2">
        <f t="shared" ca="1" si="8"/>
        <v>0.65495859742118812</v>
      </c>
      <c r="CR65" s="2"/>
      <c r="CS65" s="2">
        <f ca="1">(CK65-'2'!Z65)*'2'!V65</f>
        <v>0.23822290436022803</v>
      </c>
      <c r="CT65" s="2">
        <f>('1'!$I65-$M65)*'2'!W65</f>
        <v>8.0246913580246895E-2</v>
      </c>
      <c r="CU65" s="2">
        <f>('1'!$I65-$M65)*'2'!X65</f>
        <v>9.2906465787821718E-2</v>
      </c>
      <c r="CV65" s="2">
        <f>('1'!$I65-$M65)*'2'!Y65</f>
        <v>9.2592592592592587E-2</v>
      </c>
      <c r="CW65" s="2">
        <f>('1'!$I65-$M65)</f>
        <v>0.33333333333333337</v>
      </c>
      <c r="CX65" s="2">
        <f>('1'!$J65-$N65)*'2'!V65</f>
        <v>-0.16460905349794233</v>
      </c>
      <c r="CY65" s="2">
        <f>('1'!$J65-$N65)*'2'!W65</f>
        <v>-0.16049382716049376</v>
      </c>
      <c r="CZ65" s="2">
        <f>('1'!$J65-$N65)*'2'!X65</f>
        <v>-0.18581293157564341</v>
      </c>
      <c r="DA65" s="2">
        <f>('1'!$J65-$N65)*'2'!Y65</f>
        <v>-0.18518518518518515</v>
      </c>
      <c r="DB65" s="2">
        <f>('1'!$J65-$N65)</f>
        <v>-0.66666666666666663</v>
      </c>
      <c r="DC65" s="2">
        <f>('1'!$K65-$O65)*'2'!V65</f>
        <v>8.230452674897118E-2</v>
      </c>
      <c r="DD65" s="2">
        <f>('1'!$K65-$O65)*'2'!W65</f>
        <v>8.0246913580246895E-2</v>
      </c>
      <c r="DE65" s="2">
        <f>('1'!$K65-$O65)*'2'!X65</f>
        <v>9.2906465787821718E-2</v>
      </c>
      <c r="DF65" s="2">
        <f>('1'!$K65-$O65)*'2'!Y65</f>
        <v>9.2592592592592587E-2</v>
      </c>
      <c r="DG65" s="2">
        <f>('1'!$K65-$O65)</f>
        <v>0.33333333333333337</v>
      </c>
    </row>
    <row r="66" spans="2:111" ht="15" x14ac:dyDescent="0.25">
      <c r="B66" s="1">
        <v>4.9000000000000004</v>
      </c>
      <c r="C66" s="1">
        <v>2.4</v>
      </c>
      <c r="D66" s="1">
        <v>3.3</v>
      </c>
      <c r="E66" s="1">
        <v>1</v>
      </c>
      <c r="F66" s="1" t="s">
        <v>6</v>
      </c>
      <c r="I66" s="2">
        <f>(B66-B$5)/(B$4-B$5)</f>
        <v>0.1666666666666668</v>
      </c>
      <c r="J66" s="2">
        <f>(C66-C$5)/(C$4-C$5)</f>
        <v>0.1666666666666666</v>
      </c>
      <c r="K66" s="2">
        <f>(D66-D$5)/(D$4-D$5)</f>
        <v>0.38983050847457623</v>
      </c>
      <c r="L66" s="2">
        <f>(E66-E$5)/(E$4-E$5)</f>
        <v>0.375</v>
      </c>
      <c r="M66" s="3">
        <f>IF($F66=M$8,1,0)</f>
        <v>0</v>
      </c>
      <c r="N66" s="3">
        <f>IF($F66=N$8,1,0)</f>
        <v>1</v>
      </c>
      <c r="O66" s="3">
        <f>IF($F66=O$8,1,0)</f>
        <v>0</v>
      </c>
      <c r="CD66" s="2">
        <f ca="1">CD$2*$I66+CD$3*$J66+CD$4*$K66+CD$5*$L66+CD$6</f>
        <v>0.10960935652286152</v>
      </c>
      <c r="CE66" s="2">
        <f ca="1">CE$2*$I66+CE$3*$J66+CE$4*$K66+CE$5*$L66+CE$6</f>
        <v>7.2300811372706331E-2</v>
      </c>
      <c r="CF66" s="2">
        <f ca="1">CF$2*$I66+CF$3*$J66+CF$4*$K66+CF$5*$L66+CF$6</f>
        <v>0.48310655775672567</v>
      </c>
      <c r="CG66" s="2">
        <f t="shared" ca="1" si="4"/>
        <v>1.1158420888741993</v>
      </c>
      <c r="CH66" s="2">
        <f t="shared" ca="1" si="1"/>
        <v>1.0749786612393513</v>
      </c>
      <c r="CI66" s="2">
        <f t="shared" ca="1" si="2"/>
        <v>1.6211026368693582</v>
      </c>
      <c r="CJ66" s="2">
        <f t="shared" ca="1" si="5"/>
        <v>3.8119233869829086</v>
      </c>
      <c r="CK66" s="2">
        <f ca="1">CG66/'1'!$H66</f>
        <v>0.30155003701800959</v>
      </c>
      <c r="CL66" s="2">
        <f t="shared" ca="1" si="6"/>
        <v>0.28200426716607857</v>
      </c>
      <c r="CM66" s="2">
        <f t="shared" ca="1" si="7"/>
        <v>0.42527156826004348</v>
      </c>
      <c r="CN66" s="2">
        <f ca="1">-$M66*LOG(CK66)</f>
        <v>0</v>
      </c>
      <c r="CO66" s="2">
        <f ca="1">-$N66*LOG(CL66)</f>
        <v>0.5497443200754607</v>
      </c>
      <c r="CP66" s="2">
        <f ca="1">-$O66*LOG(CM66)</f>
        <v>0</v>
      </c>
      <c r="CQ66" s="2">
        <f t="shared" ca="1" si="8"/>
        <v>0.5497443200754607</v>
      </c>
      <c r="CR66" s="2"/>
      <c r="CS66" s="2">
        <f ca="1">(CK66-'2'!Z66)*'2'!V66</f>
        <v>7.1719755828494589E-2</v>
      </c>
      <c r="CT66" s="2">
        <f>('1'!$I66-$M66)*'2'!W66</f>
        <v>2.469135802469135E-2</v>
      </c>
      <c r="CU66" s="2">
        <f>('1'!$I66-$M66)*'2'!X66</f>
        <v>5.775266792215944E-2</v>
      </c>
      <c r="CV66" s="2">
        <f>('1'!$I66-$M66)*'2'!Y66</f>
        <v>5.5555555555555559E-2</v>
      </c>
      <c r="CW66" s="2">
        <f>('1'!$I66-$M66)</f>
        <v>0.33333333333333337</v>
      </c>
      <c r="CX66" s="2">
        <f>('1'!$J66-$N66)*'2'!V66</f>
        <v>-4.9382716049382748E-2</v>
      </c>
      <c r="CY66" s="2">
        <f>('1'!$J66-$N66)*'2'!W66</f>
        <v>-4.9382716049382692E-2</v>
      </c>
      <c r="CZ66" s="2">
        <f>('1'!$J66-$N66)*'2'!X66</f>
        <v>-0.11550533584431885</v>
      </c>
      <c r="DA66" s="2">
        <f>('1'!$J66-$N66)*'2'!Y66</f>
        <v>-0.1111111111111111</v>
      </c>
      <c r="DB66" s="2">
        <f>('1'!$J66-$N66)</f>
        <v>-0.66666666666666663</v>
      </c>
      <c r="DC66" s="2">
        <f>('1'!$K66-$O66)*'2'!V66</f>
        <v>2.4691358024691377E-2</v>
      </c>
      <c r="DD66" s="2">
        <f>('1'!$K66-$O66)*'2'!W66</f>
        <v>2.469135802469135E-2</v>
      </c>
      <c r="DE66" s="2">
        <f>('1'!$K66-$O66)*'2'!X66</f>
        <v>5.775266792215944E-2</v>
      </c>
      <c r="DF66" s="2">
        <f>('1'!$K66-$O66)*'2'!Y66</f>
        <v>5.5555555555555559E-2</v>
      </c>
      <c r="DG66" s="2">
        <f>('1'!$K66-$O66)</f>
        <v>0.33333333333333337</v>
      </c>
    </row>
    <row r="67" spans="2:111" ht="15" x14ac:dyDescent="0.25">
      <c r="B67" s="1">
        <v>6.6</v>
      </c>
      <c r="C67" s="1">
        <v>2.9</v>
      </c>
      <c r="D67" s="1">
        <v>4.5999999999999996</v>
      </c>
      <c r="E67" s="1">
        <v>1.3</v>
      </c>
      <c r="F67" s="1" t="s">
        <v>6</v>
      </c>
      <c r="I67" s="2">
        <f>(B67-B$5)/(B$4-B$5)</f>
        <v>0.63888888888888873</v>
      </c>
      <c r="J67" s="2">
        <f>(C67-C$5)/(C$4-C$5)</f>
        <v>0.37499999999999989</v>
      </c>
      <c r="K67" s="2">
        <f>(D67-D$5)/(D$4-D$5)</f>
        <v>0.61016949152542366</v>
      </c>
      <c r="L67" s="2">
        <f>(E67-E$5)/(E$4-E$5)</f>
        <v>0.5</v>
      </c>
      <c r="M67" s="3">
        <f>IF($F67=M$8,1,0)</f>
        <v>0</v>
      </c>
      <c r="N67" s="3">
        <f>IF($F67=N$8,1,0)</f>
        <v>1</v>
      </c>
      <c r="O67" s="3">
        <f>IF($F67=O$8,1,0)</f>
        <v>0</v>
      </c>
      <c r="CD67" s="2">
        <f ca="1">CD$2*$I67+CD$3*$J67+CD$4*$K67+CD$5*$L67+CD$6</f>
        <v>0.20293384433429024</v>
      </c>
      <c r="CE67" s="2">
        <f ca="1">CE$2*$I67+CE$3*$J67+CE$4*$K67+CE$5*$L67+CE$6</f>
        <v>3.6531525241576879E-2</v>
      </c>
      <c r="CF67" s="2">
        <f ca="1">CF$2*$I67+CF$3*$J67+CF$4*$K67+CF$5*$L67+CF$6</f>
        <v>0.79680894633185595</v>
      </c>
      <c r="CG67" s="2">
        <f t="shared" ca="1" si="4"/>
        <v>1.2249914254435694</v>
      </c>
      <c r="CH67" s="2">
        <f t="shared" ca="1" si="1"/>
        <v>1.0372070017036397</v>
      </c>
      <c r="CI67" s="2">
        <f t="shared" ca="1" si="2"/>
        <v>2.2184504270510899</v>
      </c>
      <c r="CJ67" s="2">
        <f t="shared" ca="1" si="5"/>
        <v>4.4806488541982983</v>
      </c>
      <c r="CK67" s="2">
        <f ca="1">CG67/'1'!$H67</f>
        <v>0.29876908875146407</v>
      </c>
      <c r="CL67" s="2">
        <f t="shared" ca="1" si="6"/>
        <v>0.23148589310492226</v>
      </c>
      <c r="CM67" s="2">
        <f t="shared" ca="1" si="7"/>
        <v>0.49511811776377795</v>
      </c>
      <c r="CN67" s="2">
        <f ca="1">-$M67*LOG(CK67)</f>
        <v>0</v>
      </c>
      <c r="CO67" s="2">
        <f ca="1">-$N67*LOG(CL67)</f>
        <v>0.63547547001692672</v>
      </c>
      <c r="CP67" s="2">
        <f ca="1">-$O67*LOG(CM67)</f>
        <v>0</v>
      </c>
      <c r="CQ67" s="2">
        <f t="shared" ca="1" si="8"/>
        <v>0.63547547001692672</v>
      </c>
      <c r="CR67" s="2"/>
      <c r="CS67" s="2">
        <f ca="1">(CK67-'2'!Z67)*'2'!V67</f>
        <v>0.27413607869897538</v>
      </c>
      <c r="CT67" s="2">
        <f>('1'!$I67-$M67)*'2'!W67</f>
        <v>5.5555555555555552E-2</v>
      </c>
      <c r="CU67" s="2">
        <f>('1'!$I67-$M67)*'2'!X67</f>
        <v>9.03954802259887E-2</v>
      </c>
      <c r="CV67" s="2">
        <f>('1'!$I67-$M67)*'2'!Y67</f>
        <v>7.4074074074074084E-2</v>
      </c>
      <c r="CW67" s="2">
        <f>('1'!$I67-$M67)</f>
        <v>0.33333333333333331</v>
      </c>
      <c r="CX67" s="2">
        <f>('1'!$J67-$N67)*'2'!V67</f>
        <v>-0.18930041152263374</v>
      </c>
      <c r="CY67" s="2">
        <f>('1'!$J67-$N67)*'2'!W67</f>
        <v>-0.11111111111111112</v>
      </c>
      <c r="CZ67" s="2">
        <f>('1'!$J67-$N67)*'2'!X67</f>
        <v>-0.18079096045197743</v>
      </c>
      <c r="DA67" s="2">
        <f>('1'!$J67-$N67)*'2'!Y67</f>
        <v>-0.1481481481481482</v>
      </c>
      <c r="DB67" s="2">
        <f>('1'!$J67-$N67)</f>
        <v>-0.66666666666666674</v>
      </c>
      <c r="DC67" s="2">
        <f>('1'!$K67-$O67)*'2'!V67</f>
        <v>9.4650205761316858E-2</v>
      </c>
      <c r="DD67" s="2">
        <f>('1'!$K67-$O67)*'2'!W67</f>
        <v>5.5555555555555552E-2</v>
      </c>
      <c r="DE67" s="2">
        <f>('1'!$K67-$O67)*'2'!X67</f>
        <v>9.03954802259887E-2</v>
      </c>
      <c r="DF67" s="2">
        <f>('1'!$K67-$O67)*'2'!Y67</f>
        <v>7.4074074074074084E-2</v>
      </c>
      <c r="DG67" s="2">
        <f>('1'!$K67-$O67)</f>
        <v>0.33333333333333331</v>
      </c>
    </row>
    <row r="68" spans="2:111" ht="15" x14ac:dyDescent="0.25">
      <c r="B68" s="1">
        <v>5.2</v>
      </c>
      <c r="C68" s="1">
        <v>2.7</v>
      </c>
      <c r="D68" s="1">
        <v>3.9</v>
      </c>
      <c r="E68" s="1">
        <v>1.4</v>
      </c>
      <c r="F68" s="1" t="s">
        <v>6</v>
      </c>
      <c r="I68" s="2">
        <f>(B68-B$5)/(B$4-B$5)</f>
        <v>0.25000000000000006</v>
      </c>
      <c r="J68" s="2">
        <f>(C68-C$5)/(C$4-C$5)</f>
        <v>0.29166666666666669</v>
      </c>
      <c r="K68" s="2">
        <f>(D68-D$5)/(D$4-D$5)</f>
        <v>0.49152542372881353</v>
      </c>
      <c r="L68" s="2">
        <f>(E68-E$5)/(E$4-E$5)</f>
        <v>0.54166666666666663</v>
      </c>
      <c r="M68" s="3">
        <f>IF($F68=M$8,1,0)</f>
        <v>0</v>
      </c>
      <c r="N68" s="3">
        <f>IF($F68=N$8,1,0)</f>
        <v>1</v>
      </c>
      <c r="O68" s="3">
        <f>IF($F68=O$8,1,0)</f>
        <v>0</v>
      </c>
      <c r="CD68" s="2">
        <f ca="1">CD$2*$I68+CD$3*$J68+CD$4*$K68+CD$5*$L68+CD$6</f>
        <v>0.13303658980601119</v>
      </c>
      <c r="CE68" s="2">
        <f ca="1">CE$2*$I68+CE$3*$J68+CE$4*$K68+CE$5*$L68+CE$6</f>
        <v>5.4147657624836074E-2</v>
      </c>
      <c r="CF68" s="2">
        <f ca="1">CF$2*$I68+CF$3*$J68+CF$4*$K68+CF$5*$L68+CF$6</f>
        <v>0.63469367373110619</v>
      </c>
      <c r="CG68" s="2">
        <f t="shared" ca="1" si="4"/>
        <v>1.1422917938013888</v>
      </c>
      <c r="CH68" s="2">
        <f t="shared" ca="1" si="1"/>
        <v>1.055640464011298</v>
      </c>
      <c r="CI68" s="2">
        <f t="shared" ca="1" si="2"/>
        <v>1.8864441855328853</v>
      </c>
      <c r="CJ68" s="2">
        <f t="shared" ca="1" si="5"/>
        <v>4.0843764433455716</v>
      </c>
      <c r="CK68" s="2">
        <f ca="1">CG68/'1'!$H68</f>
        <v>0.2943276799736439</v>
      </c>
      <c r="CL68" s="2">
        <f t="shared" ca="1" si="6"/>
        <v>0.25845817070343485</v>
      </c>
      <c r="CM68" s="2">
        <f t="shared" ca="1" si="7"/>
        <v>0.46186834433597695</v>
      </c>
      <c r="CN68" s="2">
        <f ca="1">-$M68*LOG(CK68)</f>
        <v>0</v>
      </c>
      <c r="CO68" s="2">
        <f ca="1">-$N68*LOG(CL68)</f>
        <v>0.58760973381811366</v>
      </c>
      <c r="CP68" s="2">
        <f ca="1">-$O68*LOG(CM68)</f>
        <v>0</v>
      </c>
      <c r="CQ68" s="2">
        <f t="shared" ca="1" si="8"/>
        <v>0.58760973381811366</v>
      </c>
      <c r="CR68" s="2"/>
      <c r="CS68" s="2">
        <f ca="1">(CK68-'2'!Z68)*'2'!V68</f>
        <v>0.10677714962670118</v>
      </c>
      <c r="CT68" s="2">
        <f>('1'!$I68-$M68)*'2'!W68</f>
        <v>4.3209876543209881E-2</v>
      </c>
      <c r="CU68" s="2">
        <f>('1'!$I68-$M68)*'2'!X68</f>
        <v>7.2818581293157561E-2</v>
      </c>
      <c r="CV68" s="2">
        <f>('1'!$I68-$M68)*'2'!Y68</f>
        <v>8.0246913580246909E-2</v>
      </c>
      <c r="CW68" s="2">
        <f>('1'!$I68-$M68)</f>
        <v>0.33333333333333337</v>
      </c>
      <c r="CX68" s="2">
        <f>('1'!$J68-$N68)*'2'!V68</f>
        <v>-7.407407407407407E-2</v>
      </c>
      <c r="CY68" s="2">
        <f>('1'!$J68-$N68)*'2'!W68</f>
        <v>-8.6419753086419748E-2</v>
      </c>
      <c r="CZ68" s="2">
        <f>('1'!$J68-$N68)*'2'!X68</f>
        <v>-0.14563716258631509</v>
      </c>
      <c r="DA68" s="2">
        <f>('1'!$J68-$N68)*'2'!Y68</f>
        <v>-0.16049382716049379</v>
      </c>
      <c r="DB68" s="2">
        <f>('1'!$J68-$N68)</f>
        <v>-0.66666666666666663</v>
      </c>
      <c r="DC68" s="2">
        <f>('1'!$K68-$O68)*'2'!V68</f>
        <v>3.7037037037037042E-2</v>
      </c>
      <c r="DD68" s="2">
        <f>('1'!$K68-$O68)*'2'!W68</f>
        <v>4.3209876543209881E-2</v>
      </c>
      <c r="DE68" s="2">
        <f>('1'!$K68-$O68)*'2'!X68</f>
        <v>7.2818581293157561E-2</v>
      </c>
      <c r="DF68" s="2">
        <f>('1'!$K68-$O68)*'2'!Y68</f>
        <v>8.0246913580246909E-2</v>
      </c>
      <c r="DG68" s="2">
        <f>('1'!$K68-$O68)</f>
        <v>0.33333333333333337</v>
      </c>
    </row>
    <row r="69" spans="2:111" ht="15" x14ac:dyDescent="0.25">
      <c r="B69" s="1">
        <v>5</v>
      </c>
      <c r="C69" s="1">
        <v>2</v>
      </c>
      <c r="D69" s="1">
        <v>3.5</v>
      </c>
      <c r="E69" s="1">
        <v>1</v>
      </c>
      <c r="F69" s="1" t="s">
        <v>6</v>
      </c>
      <c r="I69" s="2">
        <f>(B69-B$5)/(B$4-B$5)</f>
        <v>0.19444444444444448</v>
      </c>
      <c r="J69" s="2">
        <f>(C69-C$5)/(C$4-C$5)</f>
        <v>0</v>
      </c>
      <c r="K69" s="2">
        <f>(D69-D$5)/(D$4-D$5)</f>
        <v>0.42372881355932202</v>
      </c>
      <c r="L69" s="2">
        <f>(E69-E$5)/(E$4-E$5)</f>
        <v>0.375</v>
      </c>
      <c r="M69" s="3">
        <f>IF($F69=M$8,1,0)</f>
        <v>0</v>
      </c>
      <c r="N69" s="3">
        <f>IF($F69=N$8,1,0)</f>
        <v>1</v>
      </c>
      <c r="O69" s="3">
        <f>IF($F69=O$8,1,0)</f>
        <v>0</v>
      </c>
      <c r="CD69" s="2">
        <f ca="1">CD$2*$I69+CD$3*$J69+CD$4*$K69+CD$5*$L69+CD$6</f>
        <v>6.8238167092638052E-2</v>
      </c>
      <c r="CE69" s="2">
        <f ca="1">CE$2*$I69+CE$3*$J69+CE$4*$K69+CE$5*$L69+CE$6</f>
        <v>8.6352258842288837E-2</v>
      </c>
      <c r="CF69" s="2">
        <f ca="1">CF$2*$I69+CF$3*$J69+CF$4*$K69+CF$5*$L69+CF$6</f>
        <v>0.48354669822058655</v>
      </c>
      <c r="CG69" s="2">
        <f t="shared" ca="1" si="4"/>
        <v>1.0706202646322331</v>
      </c>
      <c r="CH69" s="2">
        <f t="shared" ca="1" si="1"/>
        <v>1.0901902898436096</v>
      </c>
      <c r="CI69" s="2">
        <f t="shared" ca="1" si="2"/>
        <v>1.6218163067818978</v>
      </c>
      <c r="CJ69" s="2">
        <f t="shared" ca="1" si="5"/>
        <v>3.7826268612577403</v>
      </c>
      <c r="CK69" s="2">
        <f ca="1">CG69/'1'!$H69</f>
        <v>0.29238277923797085</v>
      </c>
      <c r="CL69" s="2">
        <f t="shared" ca="1" si="6"/>
        <v>0.28820984195124033</v>
      </c>
      <c r="CM69" s="2">
        <f t="shared" ca="1" si="7"/>
        <v>0.42875397607752319</v>
      </c>
      <c r="CN69" s="2">
        <f ca="1">-$M69*LOG(CK69)</f>
        <v>0</v>
      </c>
      <c r="CO69" s="2">
        <f ca="1">-$N69*LOG(CL69)</f>
        <v>0.54029119273738924</v>
      </c>
      <c r="CP69" s="2">
        <f ca="1">-$O69*LOG(CM69)</f>
        <v>0</v>
      </c>
      <c r="CQ69" s="2">
        <f t="shared" ca="1" si="8"/>
        <v>0.54029119273738924</v>
      </c>
      <c r="CR69" s="2"/>
      <c r="CS69" s="2">
        <f ca="1">(CK69-'2'!Z69)*'2'!V69</f>
        <v>8.2880816312746491E-2</v>
      </c>
      <c r="CT69" s="2">
        <f>('1'!$I69-$M69)*'2'!W69</f>
        <v>0</v>
      </c>
      <c r="CU69" s="2">
        <f>('1'!$I69-$M69)*'2'!X69</f>
        <v>6.2774639045825489E-2</v>
      </c>
      <c r="CV69" s="2">
        <f>('1'!$I69-$M69)*'2'!Y69</f>
        <v>5.5555555555555559E-2</v>
      </c>
      <c r="CW69" s="2">
        <f>('1'!$I69-$M69)</f>
        <v>0.33333333333333331</v>
      </c>
      <c r="CX69" s="2">
        <f>('1'!$J69-$N69)*'2'!V69</f>
        <v>-5.7613168724279865E-2</v>
      </c>
      <c r="CY69" s="2">
        <f>('1'!$J69-$N69)*'2'!W69</f>
        <v>0</v>
      </c>
      <c r="CZ69" s="2">
        <f>('1'!$J69-$N69)*'2'!X69</f>
        <v>-0.12554927809165101</v>
      </c>
      <c r="DA69" s="2">
        <f>('1'!$J69-$N69)*'2'!Y69</f>
        <v>-0.11111111111111113</v>
      </c>
      <c r="DB69" s="2">
        <f>('1'!$J69-$N69)</f>
        <v>-0.66666666666666674</v>
      </c>
      <c r="DC69" s="2">
        <f>('1'!$K69-$O69)*'2'!V69</f>
        <v>2.8806584362139929E-2</v>
      </c>
      <c r="DD69" s="2">
        <f>('1'!$K69-$O69)*'2'!W69</f>
        <v>0</v>
      </c>
      <c r="DE69" s="2">
        <f>('1'!$K69-$O69)*'2'!X69</f>
        <v>6.2774639045825489E-2</v>
      </c>
      <c r="DF69" s="2">
        <f>('1'!$K69-$O69)*'2'!Y69</f>
        <v>5.5555555555555559E-2</v>
      </c>
      <c r="DG69" s="2">
        <f>('1'!$K69-$O69)</f>
        <v>0.33333333333333331</v>
      </c>
    </row>
    <row r="70" spans="2:111" ht="15" x14ac:dyDescent="0.25">
      <c r="B70" s="1">
        <v>5.9</v>
      </c>
      <c r="C70" s="1">
        <v>3</v>
      </c>
      <c r="D70" s="1">
        <v>4.2</v>
      </c>
      <c r="E70" s="1">
        <v>1.5</v>
      </c>
      <c r="F70" s="1" t="s">
        <v>6</v>
      </c>
      <c r="I70" s="2">
        <f>(B70-B$5)/(B$4-B$5)</f>
        <v>0.44444444444444453</v>
      </c>
      <c r="J70" s="2">
        <f>(C70-C$5)/(C$4-C$5)</f>
        <v>0.41666666666666663</v>
      </c>
      <c r="K70" s="2">
        <f>(D70-D$5)/(D$4-D$5)</f>
        <v>0.5423728813559322</v>
      </c>
      <c r="L70" s="2">
        <f>(E70-E$5)/(E$4-E$5)</f>
        <v>0.58333333333333337</v>
      </c>
      <c r="M70" s="3">
        <f>IF($F70=M$8,1,0)</f>
        <v>0</v>
      </c>
      <c r="N70" s="3">
        <f>IF($F70=N$8,1,0)</f>
        <v>1</v>
      </c>
      <c r="O70" s="3">
        <f>IF($F70=O$8,1,0)</f>
        <v>0</v>
      </c>
      <c r="CD70" s="2">
        <f ca="1">CD$2*$I70+CD$3*$J70+CD$4*$K70+CD$5*$L70+CD$6</f>
        <v>0.18500758358162706</v>
      </c>
      <c r="CE70" s="2">
        <f ca="1">CE$2*$I70+CE$3*$J70+CE$4*$K70+CE$5*$L70+CE$6</f>
        <v>3.5766217318793245E-2</v>
      </c>
      <c r="CF70" s="2">
        <f ca="1">CF$2*$I70+CF$3*$J70+CF$4*$K70+CF$5*$L70+CF$6</f>
        <v>0.74915257515110123</v>
      </c>
      <c r="CG70" s="2">
        <f t="shared" ca="1" si="4"/>
        <v>1.2032275648675503</v>
      </c>
      <c r="CH70" s="2">
        <f t="shared" ca="1" si="1"/>
        <v>1.0364135226343065</v>
      </c>
      <c r="CI70" s="2">
        <f t="shared" ca="1" si="2"/>
        <v>2.1152067781182229</v>
      </c>
      <c r="CJ70" s="2">
        <f t="shared" ca="1" si="5"/>
        <v>4.35484786562008</v>
      </c>
      <c r="CK70" s="2">
        <f ca="1">CG70/'1'!$H70</f>
        <v>0.29751624880187577</v>
      </c>
      <c r="CL70" s="2">
        <f t="shared" ca="1" si="6"/>
        <v>0.23799075297587535</v>
      </c>
      <c r="CM70" s="2">
        <f t="shared" ca="1" si="7"/>
        <v>0.48571312784931053</v>
      </c>
      <c r="CN70" s="2">
        <f ca="1">-$M70*LOG(CK70)</f>
        <v>0</v>
      </c>
      <c r="CO70" s="2">
        <f ca="1">-$N70*LOG(CL70)</f>
        <v>0.62343991693327361</v>
      </c>
      <c r="CP70" s="2">
        <f ca="1">-$O70*LOG(CM70)</f>
        <v>0</v>
      </c>
      <c r="CQ70" s="2">
        <f t="shared" ca="1" si="8"/>
        <v>0.62343991693327361</v>
      </c>
      <c r="CR70" s="2"/>
      <c r="CS70" s="2">
        <f ca="1">(CK70-'2'!Z70)*'2'!V70</f>
        <v>0.19045588453699605</v>
      </c>
      <c r="CT70" s="2">
        <f>('1'!$I70-$M70)*'2'!W70</f>
        <v>6.1728395061728392E-2</v>
      </c>
      <c r="CU70" s="2">
        <f>('1'!$I70-$M70)*'2'!X70</f>
        <v>8.0351537978656629E-2</v>
      </c>
      <c r="CV70" s="2">
        <f>('1'!$I70-$M70)*'2'!Y70</f>
        <v>8.6419753086419762E-2</v>
      </c>
      <c r="CW70" s="2">
        <f>('1'!$I70-$M70)</f>
        <v>0.33333333333333337</v>
      </c>
      <c r="CX70" s="2">
        <f>('1'!$J70-$N70)*'2'!V70</f>
        <v>-0.13168724279835392</v>
      </c>
      <c r="CY70" s="2">
        <f>('1'!$J70-$N70)*'2'!W70</f>
        <v>-0.12345679012345676</v>
      </c>
      <c r="CZ70" s="2">
        <f>('1'!$J70-$N70)*'2'!X70</f>
        <v>-0.16070307595731323</v>
      </c>
      <c r="DA70" s="2">
        <f>('1'!$J70-$N70)*'2'!Y70</f>
        <v>-0.1728395061728395</v>
      </c>
      <c r="DB70" s="2">
        <f>('1'!$J70-$N70)</f>
        <v>-0.66666666666666663</v>
      </c>
      <c r="DC70" s="2">
        <f>('1'!$K70-$O70)*'2'!V70</f>
        <v>6.5843621399176974E-2</v>
      </c>
      <c r="DD70" s="2">
        <f>('1'!$K70-$O70)*'2'!W70</f>
        <v>6.1728395061728392E-2</v>
      </c>
      <c r="DE70" s="2">
        <f>('1'!$K70-$O70)*'2'!X70</f>
        <v>8.0351537978656629E-2</v>
      </c>
      <c r="DF70" s="2">
        <f>('1'!$K70-$O70)*'2'!Y70</f>
        <v>8.6419753086419762E-2</v>
      </c>
      <c r="DG70" s="2">
        <f>('1'!$K70-$O70)</f>
        <v>0.33333333333333337</v>
      </c>
    </row>
    <row r="71" spans="2:111" ht="15" x14ac:dyDescent="0.25">
      <c r="B71" s="1">
        <v>6</v>
      </c>
      <c r="C71" s="1">
        <v>2.2000000000000002</v>
      </c>
      <c r="D71" s="1">
        <v>4</v>
      </c>
      <c r="E71" s="1">
        <v>1</v>
      </c>
      <c r="F71" s="1" t="s">
        <v>6</v>
      </c>
      <c r="I71" s="2">
        <f>(B71-B$5)/(B$4-B$5)</f>
        <v>0.47222222222222221</v>
      </c>
      <c r="J71" s="2">
        <f>(C71-C$5)/(C$4-C$5)</f>
        <v>8.3333333333333398E-2</v>
      </c>
      <c r="K71" s="2">
        <f>(D71-D$5)/(D$4-D$5)</f>
        <v>0.50847457627118642</v>
      </c>
      <c r="L71" s="2">
        <f>(E71-E$5)/(E$4-E$5)</f>
        <v>0.375</v>
      </c>
      <c r="M71" s="3">
        <f>IF($F71=M$8,1,0)</f>
        <v>0</v>
      </c>
      <c r="N71" s="3">
        <f>IF($F71=N$8,1,0)</f>
        <v>1</v>
      </c>
      <c r="O71" s="3">
        <f>IF($F71=O$8,1,0)</f>
        <v>0</v>
      </c>
      <c r="CD71" s="2">
        <f ca="1">CD$2*$I71+CD$3*$J71+CD$4*$K71+CD$5*$L71+CD$6</f>
        <v>0.12191561604261153</v>
      </c>
      <c r="CE71" s="2">
        <f ca="1">CE$2*$I71+CE$3*$J71+CE$4*$K71+CE$5*$L71+CE$6</f>
        <v>7.0652531747643993E-2</v>
      </c>
      <c r="CF71" s="2">
        <f ca="1">CF$2*$I71+CF$3*$J71+CF$4*$K71+CF$5*$L71+CF$6</f>
        <v>0.61478068689795073</v>
      </c>
      <c r="CG71" s="2">
        <f t="shared" ca="1" si="4"/>
        <v>1.1296587726805145</v>
      </c>
      <c r="CH71" s="2">
        <f t="shared" ca="1" si="1"/>
        <v>1.0732082552775148</v>
      </c>
      <c r="CI71" s="2">
        <f t="shared" ca="1" si="2"/>
        <v>1.8492509901111109</v>
      </c>
      <c r="CJ71" s="2">
        <f t="shared" ca="1" si="5"/>
        <v>4.0521180180691401</v>
      </c>
      <c r="CK71" s="2">
        <f ca="1">CG71/'1'!$H71</f>
        <v>0.29505317465794478</v>
      </c>
      <c r="CL71" s="2">
        <f t="shared" ca="1" si="6"/>
        <v>0.26485118411948561</v>
      </c>
      <c r="CM71" s="2">
        <f t="shared" ca="1" si="7"/>
        <v>0.45636651792098859</v>
      </c>
      <c r="CN71" s="2">
        <f ca="1">-$M71*LOG(CK71)</f>
        <v>0</v>
      </c>
      <c r="CO71" s="2">
        <f ca="1">-$N71*LOG(CL71)</f>
        <v>0.57699808104286743</v>
      </c>
      <c r="CP71" s="2">
        <f ca="1">-$O71*LOG(CM71)</f>
        <v>0</v>
      </c>
      <c r="CQ71" s="2">
        <f t="shared" ca="1" si="8"/>
        <v>0.57699808104286743</v>
      </c>
      <c r="CR71" s="2"/>
      <c r="CS71" s="2">
        <f ca="1">(CK71-'2'!Z71)*'2'!V71</f>
        <v>0.20184243583356037</v>
      </c>
      <c r="CT71" s="2">
        <f>('1'!$I71-$M71)*'2'!W71</f>
        <v>1.2345679012345689E-2</v>
      </c>
      <c r="CU71" s="2">
        <f>('1'!$I71-$M71)*'2'!X71</f>
        <v>7.5329566854990579E-2</v>
      </c>
      <c r="CV71" s="2">
        <f>('1'!$I71-$M71)*'2'!Y71</f>
        <v>5.5555555555555559E-2</v>
      </c>
      <c r="CW71" s="2">
        <f>('1'!$I71-$M71)</f>
        <v>0.33333333333333337</v>
      </c>
      <c r="CX71" s="2">
        <f>('1'!$J71-$N71)*'2'!V71</f>
        <v>-0.139917695473251</v>
      </c>
      <c r="CY71" s="2">
        <f>('1'!$J71-$N71)*'2'!W71</f>
        <v>-2.4691358024691374E-2</v>
      </c>
      <c r="CZ71" s="2">
        <f>('1'!$J71-$N71)*'2'!X71</f>
        <v>-0.15065913370998113</v>
      </c>
      <c r="DA71" s="2">
        <f>('1'!$J71-$N71)*'2'!Y71</f>
        <v>-0.1111111111111111</v>
      </c>
      <c r="DB71" s="2">
        <f>('1'!$J71-$N71)</f>
        <v>-0.66666666666666663</v>
      </c>
      <c r="DC71" s="2">
        <f>('1'!$K71-$O71)*'2'!V71</f>
        <v>6.9958847736625515E-2</v>
      </c>
      <c r="DD71" s="2">
        <f>('1'!$K71-$O71)*'2'!W71</f>
        <v>1.2345679012345689E-2</v>
      </c>
      <c r="DE71" s="2">
        <f>('1'!$K71-$O71)*'2'!X71</f>
        <v>7.5329566854990579E-2</v>
      </c>
      <c r="DF71" s="2">
        <f>('1'!$K71-$O71)*'2'!Y71</f>
        <v>5.5555555555555559E-2</v>
      </c>
      <c r="DG71" s="2">
        <f>('1'!$K71-$O71)</f>
        <v>0.33333333333333337</v>
      </c>
    </row>
    <row r="72" spans="2:111" ht="15" x14ac:dyDescent="0.25">
      <c r="B72" s="1">
        <v>6.1</v>
      </c>
      <c r="C72" s="1">
        <v>2.9</v>
      </c>
      <c r="D72" s="1">
        <v>4.7</v>
      </c>
      <c r="E72" s="1">
        <v>1.4</v>
      </c>
      <c r="F72" s="1" t="s">
        <v>6</v>
      </c>
      <c r="I72" s="2">
        <f>(B72-B$5)/(B$4-B$5)</f>
        <v>0.49999999999999989</v>
      </c>
      <c r="J72" s="2">
        <f>(C72-C$5)/(C$4-C$5)</f>
        <v>0.37499999999999989</v>
      </c>
      <c r="K72" s="2">
        <f>(D72-D$5)/(D$4-D$5)</f>
        <v>0.6271186440677966</v>
      </c>
      <c r="L72" s="2">
        <f>(E72-E$5)/(E$4-E$5)</f>
        <v>0.54166666666666663</v>
      </c>
      <c r="M72" s="3">
        <f>IF($F72=M$8,1,0)</f>
        <v>0</v>
      </c>
      <c r="N72" s="3">
        <f>IF($F72=N$8,1,0)</f>
        <v>1</v>
      </c>
      <c r="O72" s="3">
        <f>IF($F72=O$8,1,0)</f>
        <v>0</v>
      </c>
      <c r="CD72" s="2">
        <f ca="1">CD$2*$I72+CD$3*$J72+CD$4*$K72+CD$5*$L72+CD$6</f>
        <v>0.17952276820418805</v>
      </c>
      <c r="CE72" s="2">
        <f ca="1">CE$2*$I72+CE$3*$J72+CE$4*$K72+CE$5*$L72+CE$6</f>
        <v>4.0151312505191716E-2</v>
      </c>
      <c r="CF72" s="2">
        <f ca="1">CF$2*$I72+CF$3*$J72+CF$4*$K72+CF$5*$L72+CF$6</f>
        <v>0.77729257731521539</v>
      </c>
      <c r="CG72" s="2">
        <f t="shared" ca="1" si="4"/>
        <v>1.1966461492411844</v>
      </c>
      <c r="CH72" s="2">
        <f t="shared" ca="1" si="1"/>
        <v>1.040968273793591</v>
      </c>
      <c r="CI72" s="2">
        <f t="shared" ca="1" si="2"/>
        <v>2.1755740860356725</v>
      </c>
      <c r="CJ72" s="2">
        <f t="shared" ca="1" si="5"/>
        <v>4.4131885090704479</v>
      </c>
      <c r="CK72" s="2">
        <f ca="1">CG72/'1'!$H72</f>
        <v>0.29420806686201373</v>
      </c>
      <c r="CL72" s="2">
        <f t="shared" ca="1" si="6"/>
        <v>0.23587668454544461</v>
      </c>
      <c r="CM72" s="2">
        <f t="shared" ca="1" si="7"/>
        <v>0.49297103025719485</v>
      </c>
      <c r="CN72" s="2">
        <f ca="1">-$M72*LOG(CK72)</f>
        <v>0</v>
      </c>
      <c r="CO72" s="2">
        <f ca="1">-$N72*LOG(CL72)</f>
        <v>0.62731498524278861</v>
      </c>
      <c r="CP72" s="2">
        <f ca="1">-$O72*LOG(CM72)</f>
        <v>0</v>
      </c>
      <c r="CQ72" s="2">
        <f t="shared" ca="1" si="8"/>
        <v>0.62731498524278861</v>
      </c>
      <c r="CR72" s="2"/>
      <c r="CS72" s="2">
        <f ca="1">(CK72-'2'!Z72)*'2'!V72</f>
        <v>0.21352771856192901</v>
      </c>
      <c r="CT72" s="2">
        <f>('1'!$I72-$M72)*'2'!W72</f>
        <v>5.5555555555555552E-2</v>
      </c>
      <c r="CU72" s="2">
        <f>('1'!$I72-$M72)*'2'!X72</f>
        <v>9.2906465787821746E-2</v>
      </c>
      <c r="CV72" s="2">
        <f>('1'!$I72-$M72)*'2'!Y72</f>
        <v>8.0246913580246909E-2</v>
      </c>
      <c r="CW72" s="2">
        <f>('1'!$I72-$M72)</f>
        <v>0.33333333333333331</v>
      </c>
      <c r="CX72" s="2">
        <f>('1'!$J72-$N72)*'2'!V72</f>
        <v>-0.14814814814814817</v>
      </c>
      <c r="CY72" s="2">
        <f>('1'!$J72-$N72)*'2'!W72</f>
        <v>-0.11111111111111112</v>
      </c>
      <c r="CZ72" s="2">
        <f>('1'!$J72-$N72)*'2'!X72</f>
        <v>-0.18581293157564352</v>
      </c>
      <c r="DA72" s="2">
        <f>('1'!$J72-$N72)*'2'!Y72</f>
        <v>-0.16049382716049385</v>
      </c>
      <c r="DB72" s="2">
        <f>('1'!$J72-$N72)</f>
        <v>-0.66666666666666674</v>
      </c>
      <c r="DC72" s="2">
        <f>('1'!$K72-$O72)*'2'!V72</f>
        <v>7.407407407407407E-2</v>
      </c>
      <c r="DD72" s="2">
        <f>('1'!$K72-$O72)*'2'!W72</f>
        <v>5.5555555555555552E-2</v>
      </c>
      <c r="DE72" s="2">
        <f>('1'!$K72-$O72)*'2'!X72</f>
        <v>9.2906465787821746E-2</v>
      </c>
      <c r="DF72" s="2">
        <f>('1'!$K72-$O72)*'2'!Y72</f>
        <v>8.0246913580246909E-2</v>
      </c>
      <c r="DG72" s="2">
        <f>('1'!$K72-$O72)</f>
        <v>0.33333333333333331</v>
      </c>
    </row>
    <row r="73" spans="2:111" ht="15" x14ac:dyDescent="0.25">
      <c r="B73" s="1">
        <v>5.6</v>
      </c>
      <c r="C73" s="1">
        <v>2.9</v>
      </c>
      <c r="D73" s="1">
        <v>3.6</v>
      </c>
      <c r="E73" s="1">
        <v>1.3</v>
      </c>
      <c r="F73" s="1" t="s">
        <v>6</v>
      </c>
      <c r="I73" s="2">
        <f>(B73-B$5)/(B$4-B$5)</f>
        <v>0.36111111111111099</v>
      </c>
      <c r="J73" s="2">
        <f>(C73-C$5)/(C$4-C$5)</f>
        <v>0.37499999999999989</v>
      </c>
      <c r="K73" s="2">
        <f>(D73-D$5)/(D$4-D$5)</f>
        <v>0.44067796610169491</v>
      </c>
      <c r="L73" s="2">
        <f>(E73-E$5)/(E$4-E$5)</f>
        <v>0.5</v>
      </c>
      <c r="M73" s="3">
        <f>IF($F73=M$8,1,0)</f>
        <v>0</v>
      </c>
      <c r="N73" s="3">
        <f>IF($F73=N$8,1,0)</f>
        <v>1</v>
      </c>
      <c r="O73" s="3">
        <f>IF($F73=O$8,1,0)</f>
        <v>0</v>
      </c>
      <c r="CD73" s="2">
        <f ca="1">CD$2*$I73+CD$3*$J73+CD$4*$K73+CD$5*$L73+CD$6</f>
        <v>0.17637205781259357</v>
      </c>
      <c r="CE73" s="2">
        <f ca="1">CE$2*$I73+CE$3*$J73+CE$4*$K73+CE$5*$L73+CE$6</f>
        <v>4.3739737122086807E-2</v>
      </c>
      <c r="CF73" s="2">
        <f ca="1">CF$2*$I73+CF$3*$J73+CF$4*$K73+CF$5*$L73+CF$6</f>
        <v>0.64295338560718107</v>
      </c>
      <c r="CG73" s="2">
        <f t="shared" ca="1" si="4"/>
        <v>1.1928817970894821</v>
      </c>
      <c r="CH73" s="2">
        <f t="shared" ref="CH73:CH136" ca="1" si="9">EXP(CE73)</f>
        <v>1.0447104201621842</v>
      </c>
      <c r="CI73" s="2">
        <f t="shared" ref="CI73:CI136" ca="1" si="10">EXP(CF73)</f>
        <v>1.9020901978011746</v>
      </c>
      <c r="CJ73" s="2">
        <f t="shared" ca="1" si="5"/>
        <v>4.1396824150528406</v>
      </c>
      <c r="CK73" s="2">
        <f ca="1">CG73/'1'!$H73</f>
        <v>0.30424586482569799</v>
      </c>
      <c r="CL73" s="2">
        <f t="shared" ca="1" si="6"/>
        <v>0.25236487136389402</v>
      </c>
      <c r="CM73" s="2">
        <f t="shared" ca="1" si="7"/>
        <v>0.45947732388473467</v>
      </c>
      <c r="CN73" s="2">
        <f ca="1">-$M73*LOG(CK73)</f>
        <v>0</v>
      </c>
      <c r="CO73" s="2">
        <f ca="1">-$N73*LOG(CL73)</f>
        <v>0.59797109805936621</v>
      </c>
      <c r="CP73" s="2">
        <f ca="1">-$O73*LOG(CM73)</f>
        <v>0</v>
      </c>
      <c r="CQ73" s="2">
        <f t="shared" ref="CQ73:CQ104" ca="1" si="11">SUM(CN73:CP73)</f>
        <v>0.59797109805936621</v>
      </c>
      <c r="CR73" s="2"/>
      <c r="CS73" s="2">
        <f ca="1">(CK73-'2'!Z73)*'2'!V73</f>
        <v>0.15582546801729302</v>
      </c>
      <c r="CT73" s="2">
        <f>('1'!$I73-$M73)*'2'!W73</f>
        <v>5.5555555555555539E-2</v>
      </c>
      <c r="CU73" s="2">
        <f>('1'!$I73-$M73)*'2'!X73</f>
        <v>6.5285624607658507E-2</v>
      </c>
      <c r="CV73" s="2">
        <f>('1'!$I73-$M73)*'2'!Y73</f>
        <v>7.4074074074074084E-2</v>
      </c>
      <c r="CW73" s="2">
        <f>('1'!$I73-$M73)</f>
        <v>0.33333333333333337</v>
      </c>
      <c r="CX73" s="2">
        <f>('1'!$J73-$N73)*'2'!V73</f>
        <v>-0.10699588477366251</v>
      </c>
      <c r="CY73" s="2">
        <f>('1'!$J73-$N73)*'2'!W73</f>
        <v>-0.11111111111111106</v>
      </c>
      <c r="CZ73" s="2">
        <f>('1'!$J73-$N73)*'2'!X73</f>
        <v>-0.13057124921531699</v>
      </c>
      <c r="DA73" s="2">
        <f>('1'!$J73-$N73)*'2'!Y73</f>
        <v>-0.14814814814814814</v>
      </c>
      <c r="DB73" s="2">
        <f>('1'!$J73-$N73)</f>
        <v>-0.66666666666666663</v>
      </c>
      <c r="DC73" s="2">
        <f>('1'!$K73-$O73)*'2'!V73</f>
        <v>5.3497942386831261E-2</v>
      </c>
      <c r="DD73" s="2">
        <f>('1'!$K73-$O73)*'2'!W73</f>
        <v>5.5555555555555539E-2</v>
      </c>
      <c r="DE73" s="2">
        <f>('1'!$K73-$O73)*'2'!X73</f>
        <v>6.5285624607658507E-2</v>
      </c>
      <c r="DF73" s="2">
        <f>('1'!$K73-$O73)*'2'!Y73</f>
        <v>7.4074074074074084E-2</v>
      </c>
      <c r="DG73" s="2">
        <f>('1'!$K73-$O73)</f>
        <v>0.33333333333333337</v>
      </c>
    </row>
    <row r="74" spans="2:111" ht="15" x14ac:dyDescent="0.25">
      <c r="B74" s="1">
        <v>6.7</v>
      </c>
      <c r="C74" s="1">
        <v>3.1</v>
      </c>
      <c r="D74" s="1">
        <v>4.4000000000000004</v>
      </c>
      <c r="E74" s="1">
        <v>1.4</v>
      </c>
      <c r="F74" s="1" t="s">
        <v>6</v>
      </c>
      <c r="I74" s="2">
        <f>(B74-B$5)/(B$4-B$5)</f>
        <v>0.66666666666666663</v>
      </c>
      <c r="J74" s="2">
        <f>(C74-C$5)/(C$4-C$5)</f>
        <v>0.45833333333333331</v>
      </c>
      <c r="K74" s="2">
        <f>(D74-D$5)/(D$4-D$5)</f>
        <v>0.57627118644067798</v>
      </c>
      <c r="L74" s="2">
        <f>(E74-E$5)/(E$4-E$5)</f>
        <v>0.54166666666666663</v>
      </c>
      <c r="M74" s="3">
        <f>IF($F74=M$8,1,0)</f>
        <v>0</v>
      </c>
      <c r="N74" s="3">
        <f>IF($F74=N$8,1,0)</f>
        <v>1</v>
      </c>
      <c r="O74" s="3">
        <f>IF($F74=O$8,1,0)</f>
        <v>0</v>
      </c>
      <c r="CD74" s="2">
        <f ca="1">CD$2*$I74+CD$3*$J74+CD$4*$K74+CD$5*$L74+CD$6</f>
        <v>0.22711059444510978</v>
      </c>
      <c r="CE74" s="2">
        <f ca="1">CE$2*$I74+CE$3*$J74+CE$4*$K74+CE$5*$L74+CE$6</f>
        <v>2.6352309375801394E-2</v>
      </c>
      <c r="CF74" s="2">
        <f ca="1">CF$2*$I74+CF$3*$J74+CF$4*$K74+CF$5*$L74+CF$6</f>
        <v>0.82023387072349685</v>
      </c>
      <c r="CG74" s="2">
        <f t="shared" ref="CG74:CG137" ca="1" si="12">EXP(CD74)</f>
        <v>1.2549686528275086</v>
      </c>
      <c r="CH74" s="2">
        <f t="shared" ca="1" si="9"/>
        <v>1.0267026017155314</v>
      </c>
      <c r="CI74" s="2">
        <f t="shared" ca="1" si="10"/>
        <v>2.2710309030700291</v>
      </c>
      <c r="CJ74" s="2">
        <f t="shared" ref="CJ74:CJ137" ca="1" si="13">SUM(CG74:CI74)</f>
        <v>4.5527021576130693</v>
      </c>
      <c r="CK74" s="2">
        <f ca="1">CG74/'1'!$H74</f>
        <v>0.30246325513008793</v>
      </c>
      <c r="CL74" s="2">
        <f t="shared" ref="CL74:CL137" ca="1" si="14">CH74/CJ74</f>
        <v>0.22551499442999365</v>
      </c>
      <c r="CM74" s="2">
        <f t="shared" ref="CM74:CM137" ca="1" si="15">CI74/CJ74</f>
        <v>0.49883142460184682</v>
      </c>
      <c r="CN74" s="2">
        <f ca="1">-$M74*LOG(CK74)</f>
        <v>0</v>
      </c>
      <c r="CO74" s="2">
        <f ca="1">-$N74*LOG(CL74)</f>
        <v>0.64682457670526572</v>
      </c>
      <c r="CP74" s="2">
        <f ca="1">-$O74*LOG(CM74)</f>
        <v>0</v>
      </c>
      <c r="CQ74" s="2">
        <f t="shared" ca="1" si="11"/>
        <v>0.64682457670526572</v>
      </c>
      <c r="CR74" s="2"/>
      <c r="CS74" s="2">
        <f ca="1">(CK74-'2'!Z74)*'2'!V74</f>
        <v>0.28714960645829768</v>
      </c>
      <c r="CT74" s="2">
        <f>('1'!$I74-$M74)*'2'!W74</f>
        <v>6.7901234567901245E-2</v>
      </c>
      <c r="CU74" s="2">
        <f>('1'!$I74-$M74)*'2'!X74</f>
        <v>8.5373509102322678E-2</v>
      </c>
      <c r="CV74" s="2">
        <f>('1'!$I74-$M74)*'2'!Y74</f>
        <v>8.0246913580246909E-2</v>
      </c>
      <c r="CW74" s="2">
        <f>('1'!$I74-$M74)</f>
        <v>0.33333333333333331</v>
      </c>
      <c r="CX74" s="2">
        <f>('1'!$J74-$N74)*'2'!V74</f>
        <v>-0.19753086419753091</v>
      </c>
      <c r="CY74" s="2">
        <f>('1'!$J74-$N74)*'2'!W74</f>
        <v>-0.13580246913580252</v>
      </c>
      <c r="CZ74" s="2">
        <f>('1'!$J74-$N74)*'2'!X74</f>
        <v>-0.17074701820464538</v>
      </c>
      <c r="DA74" s="2">
        <f>('1'!$J74-$N74)*'2'!Y74</f>
        <v>-0.16049382716049385</v>
      </c>
      <c r="DB74" s="2">
        <f>('1'!$J74-$N74)</f>
        <v>-0.66666666666666674</v>
      </c>
      <c r="DC74" s="2">
        <f>('1'!$K74-$O74)*'2'!V74</f>
        <v>9.876543209876544E-2</v>
      </c>
      <c r="DD74" s="2">
        <f>('1'!$K74-$O74)*'2'!W74</f>
        <v>6.7901234567901245E-2</v>
      </c>
      <c r="DE74" s="2">
        <f>('1'!$K74-$O74)*'2'!X74</f>
        <v>8.5373509102322678E-2</v>
      </c>
      <c r="DF74" s="2">
        <f>('1'!$K74-$O74)*'2'!Y74</f>
        <v>8.0246913580246909E-2</v>
      </c>
      <c r="DG74" s="2">
        <f>('1'!$K74-$O74)</f>
        <v>0.33333333333333331</v>
      </c>
    </row>
    <row r="75" spans="2:111" ht="15" x14ac:dyDescent="0.25">
      <c r="B75" s="1">
        <v>5.6</v>
      </c>
      <c r="C75" s="1">
        <v>3</v>
      </c>
      <c r="D75" s="1">
        <v>4.5</v>
      </c>
      <c r="E75" s="1">
        <v>1.5</v>
      </c>
      <c r="F75" s="1" t="s">
        <v>6</v>
      </c>
      <c r="I75" s="2">
        <f>(B75-B$5)/(B$4-B$5)</f>
        <v>0.36111111111111099</v>
      </c>
      <c r="J75" s="2">
        <f>(C75-C$5)/(C$4-C$5)</f>
        <v>0.41666666666666663</v>
      </c>
      <c r="K75" s="2">
        <f>(D75-D$5)/(D$4-D$5)</f>
        <v>0.59322033898305082</v>
      </c>
      <c r="L75" s="2">
        <f>(E75-E$5)/(E$4-E$5)</f>
        <v>0.58333333333333337</v>
      </c>
      <c r="M75" s="3">
        <f>IF($F75=M$8,1,0)</f>
        <v>0</v>
      </c>
      <c r="N75" s="3">
        <f>IF($F75=N$8,1,0)</f>
        <v>1</v>
      </c>
      <c r="O75" s="3">
        <f>IF($F75=O$8,1,0)</f>
        <v>0</v>
      </c>
      <c r="CD75" s="2">
        <f ca="1">CD$2*$I75+CD$3*$J75+CD$4*$K75+CD$5*$L75+CD$6</f>
        <v>0.17023640977567772</v>
      </c>
      <c r="CE75" s="2">
        <f ca="1">CE$2*$I75+CE$3*$J75+CE$4*$K75+CE$5*$L75+CE$6</f>
        <v>3.9402522063370429E-2</v>
      </c>
      <c r="CF75" s="2">
        <f ca="1">CF$2*$I75+CF$3*$J75+CF$4*$K75+CF$5*$L75+CF$6</f>
        <v>0.74312161340251759</v>
      </c>
      <c r="CG75" s="2">
        <f t="shared" ca="1" si="12"/>
        <v>1.1855851021000825</v>
      </c>
      <c r="CH75" s="2">
        <f t="shared" ca="1" si="9"/>
        <v>1.0401890984558639</v>
      </c>
      <c r="CI75" s="2">
        <f t="shared" ca="1" si="10"/>
        <v>2.1024884374119961</v>
      </c>
      <c r="CJ75" s="2">
        <f t="shared" ca="1" si="13"/>
        <v>4.3282626379679421</v>
      </c>
      <c r="CK75" s="2">
        <f ca="1">CG75/'1'!$H75</f>
        <v>0.29410776714249465</v>
      </c>
      <c r="CL75" s="2">
        <f t="shared" ca="1" si="14"/>
        <v>0.24032485675227369</v>
      </c>
      <c r="CM75" s="2">
        <f t="shared" ca="1" si="15"/>
        <v>0.48575805427534885</v>
      </c>
      <c r="CN75" s="2">
        <f ca="1">-$M75*LOG(CK75)</f>
        <v>0</v>
      </c>
      <c r="CO75" s="2">
        <f ca="1">-$N75*LOG(CL75)</f>
        <v>0.61920130788082262</v>
      </c>
      <c r="CP75" s="2">
        <f ca="1">-$O75*LOG(CM75)</f>
        <v>0</v>
      </c>
      <c r="CQ75" s="2">
        <f t="shared" ca="1" si="11"/>
        <v>0.61920130788082262</v>
      </c>
      <c r="CR75" s="2"/>
      <c r="CS75" s="2">
        <f ca="1">(CK75-'2'!Z75)*'2'!V75</f>
        <v>0.15419836591998887</v>
      </c>
      <c r="CT75" s="2">
        <f>('1'!$I75-$M75)*'2'!W75</f>
        <v>6.1728395061728399E-2</v>
      </c>
      <c r="CU75" s="2">
        <f>('1'!$I75-$M75)*'2'!X75</f>
        <v>8.7884494664155682E-2</v>
      </c>
      <c r="CV75" s="2">
        <f>('1'!$I75-$M75)*'2'!Y75</f>
        <v>8.6419753086419776E-2</v>
      </c>
      <c r="CW75" s="2">
        <f>('1'!$I75-$M75)</f>
        <v>0.33333333333333331</v>
      </c>
      <c r="CX75" s="2">
        <f>('1'!$J75-$N75)*'2'!V75</f>
        <v>-0.10699588477366256</v>
      </c>
      <c r="CY75" s="2">
        <f>('1'!$J75-$N75)*'2'!W75</f>
        <v>-0.12345679012345681</v>
      </c>
      <c r="CZ75" s="2">
        <f>('1'!$J75-$N75)*'2'!X75</f>
        <v>-0.17576898932831139</v>
      </c>
      <c r="DA75" s="2">
        <f>('1'!$J75-$N75)*'2'!Y75</f>
        <v>-0.17283950617283958</v>
      </c>
      <c r="DB75" s="2">
        <f>('1'!$J75-$N75)</f>
        <v>-0.66666666666666674</v>
      </c>
      <c r="DC75" s="2">
        <f>('1'!$K75-$O75)*'2'!V75</f>
        <v>5.3497942386831268E-2</v>
      </c>
      <c r="DD75" s="2">
        <f>('1'!$K75-$O75)*'2'!W75</f>
        <v>6.1728395061728399E-2</v>
      </c>
      <c r="DE75" s="2">
        <f>('1'!$K75-$O75)*'2'!X75</f>
        <v>8.7884494664155682E-2</v>
      </c>
      <c r="DF75" s="2">
        <f>('1'!$K75-$O75)*'2'!Y75</f>
        <v>8.6419753086419776E-2</v>
      </c>
      <c r="DG75" s="2">
        <f>('1'!$K75-$O75)</f>
        <v>0.33333333333333331</v>
      </c>
    </row>
    <row r="76" spans="2:111" ht="15" x14ac:dyDescent="0.25">
      <c r="B76" s="1">
        <v>5.8</v>
      </c>
      <c r="C76" s="1">
        <v>2.7</v>
      </c>
      <c r="D76" s="1">
        <v>4.0999999999999996</v>
      </c>
      <c r="E76" s="1">
        <v>1</v>
      </c>
      <c r="F76" s="1" t="s">
        <v>6</v>
      </c>
      <c r="I76" s="2">
        <f>(B76-B$5)/(B$4-B$5)</f>
        <v>0.41666666666666663</v>
      </c>
      <c r="J76" s="2">
        <f>(C76-C$5)/(C$4-C$5)</f>
        <v>0.29166666666666669</v>
      </c>
      <c r="K76" s="2">
        <f>(D76-D$5)/(D$4-D$5)</f>
        <v>0.52542372881355925</v>
      </c>
      <c r="L76" s="2">
        <f>(E76-E$5)/(E$4-E$5)</f>
        <v>0.375</v>
      </c>
      <c r="M76" s="3">
        <f>IF($F76=M$8,1,0)</f>
        <v>0</v>
      </c>
      <c r="N76" s="3">
        <f>IF($F76=N$8,1,0)</f>
        <v>1</v>
      </c>
      <c r="O76" s="3">
        <f>IF($F76=O$8,1,0)</f>
        <v>0</v>
      </c>
      <c r="CD76" s="2">
        <f ca="1">CD$2*$I76+CD$3*$J76+CD$4*$K76+CD$5*$L76+CD$6</f>
        <v>0.16681893369791007</v>
      </c>
      <c r="CE76" s="2">
        <f ca="1">CE$2*$I76+CE$3*$J76+CE$4*$K76+CE$5*$L76+CE$6</f>
        <v>5.4672809137837924E-2</v>
      </c>
      <c r="CF76" s="2">
        <f ca="1">CF$2*$I76+CF$3*$J76+CF$4*$K76+CF$5*$L76+CF$6</f>
        <v>0.63111371967918728</v>
      </c>
      <c r="CG76" s="2">
        <f t="shared" ca="1" si="12"/>
        <v>1.1815403088043042</v>
      </c>
      <c r="CH76" s="2">
        <f t="shared" ca="1" si="9"/>
        <v>1.0561949807880777</v>
      </c>
      <c r="CI76" s="2">
        <f t="shared" ca="1" si="10"/>
        <v>1.8797028760160848</v>
      </c>
      <c r="CJ76" s="2">
        <f t="shared" ca="1" si="13"/>
        <v>4.1174381656084664</v>
      </c>
      <c r="CK76" s="2">
        <f ca="1">CG76/'1'!$H76</f>
        <v>0.30341036155477358</v>
      </c>
      <c r="CL76" s="2">
        <f t="shared" ca="1" si="14"/>
        <v>0.25651750877769297</v>
      </c>
      <c r="CM76" s="2">
        <f t="shared" ca="1" si="15"/>
        <v>0.45652242982459124</v>
      </c>
      <c r="CN76" s="2">
        <f ca="1">-$M76*LOG(CK76)</f>
        <v>0</v>
      </c>
      <c r="CO76" s="2">
        <f ca="1">-$N76*LOG(CL76)</f>
        <v>0.59088298647409832</v>
      </c>
      <c r="CP76" s="2">
        <f ca="1">-$O76*LOG(CM76)</f>
        <v>0</v>
      </c>
      <c r="CQ76" s="2">
        <f t="shared" ca="1" si="11"/>
        <v>0.59088298647409832</v>
      </c>
      <c r="CR76" s="2"/>
      <c r="CS76" s="2">
        <f ca="1">(CK76-'2'!Z76)*'2'!V76</f>
        <v>0.17964389411508147</v>
      </c>
      <c r="CT76" s="2">
        <f>('1'!$I76-$M76)*'2'!W76</f>
        <v>4.3209876543209881E-2</v>
      </c>
      <c r="CU76" s="2">
        <f>('1'!$I76-$M76)*'2'!X76</f>
        <v>7.7840552416823597E-2</v>
      </c>
      <c r="CV76" s="2">
        <f>('1'!$I76-$M76)*'2'!Y76</f>
        <v>5.5555555555555559E-2</v>
      </c>
      <c r="CW76" s="2">
        <f>('1'!$I76-$M76)</f>
        <v>0.33333333333333337</v>
      </c>
      <c r="CX76" s="2">
        <f>('1'!$J76-$N76)*'2'!V76</f>
        <v>-0.12345679012345676</v>
      </c>
      <c r="CY76" s="2">
        <f>('1'!$J76-$N76)*'2'!W76</f>
        <v>-8.6419753086419748E-2</v>
      </c>
      <c r="CZ76" s="2">
        <f>('1'!$J76-$N76)*'2'!X76</f>
        <v>-0.15568110483364717</v>
      </c>
      <c r="DA76" s="2">
        <f>('1'!$J76-$N76)*'2'!Y76</f>
        <v>-0.1111111111111111</v>
      </c>
      <c r="DB76" s="2">
        <f>('1'!$J76-$N76)</f>
        <v>-0.66666666666666663</v>
      </c>
      <c r="DC76" s="2">
        <f>('1'!$K76-$O76)*'2'!V76</f>
        <v>6.1728395061728392E-2</v>
      </c>
      <c r="DD76" s="2">
        <f>('1'!$K76-$O76)*'2'!W76</f>
        <v>4.3209876543209881E-2</v>
      </c>
      <c r="DE76" s="2">
        <f>('1'!$K76-$O76)*'2'!X76</f>
        <v>7.7840552416823597E-2</v>
      </c>
      <c r="DF76" s="2">
        <f>('1'!$K76-$O76)*'2'!Y76</f>
        <v>5.5555555555555559E-2</v>
      </c>
      <c r="DG76" s="2">
        <f>('1'!$K76-$O76)</f>
        <v>0.33333333333333337</v>
      </c>
    </row>
    <row r="77" spans="2:111" ht="15" x14ac:dyDescent="0.25">
      <c r="B77" s="1">
        <v>6.2</v>
      </c>
      <c r="C77" s="1">
        <v>2.2000000000000002</v>
      </c>
      <c r="D77" s="1">
        <v>4.5</v>
      </c>
      <c r="E77" s="1">
        <v>1.5</v>
      </c>
      <c r="F77" s="1" t="s">
        <v>6</v>
      </c>
      <c r="I77" s="2">
        <f>(B77-B$5)/(B$4-B$5)</f>
        <v>0.52777777777777779</v>
      </c>
      <c r="J77" s="2">
        <f>(C77-C$5)/(C$4-C$5)</f>
        <v>8.3333333333333398E-2</v>
      </c>
      <c r="K77" s="2">
        <f>(D77-D$5)/(D$4-D$5)</f>
        <v>0.59322033898305082</v>
      </c>
      <c r="L77" s="2">
        <f>(E77-E$5)/(E$4-E$5)</f>
        <v>0.58333333333333337</v>
      </c>
      <c r="M77" s="3">
        <f>IF($F77=M$8,1,0)</f>
        <v>0</v>
      </c>
      <c r="N77" s="3">
        <f>IF($F77=N$8,1,0)</f>
        <v>1</v>
      </c>
      <c r="O77" s="3">
        <f>IF($F77=O$8,1,0)</f>
        <v>0</v>
      </c>
      <c r="CD77" s="2">
        <f ca="1">CD$2*$I77+CD$3*$J77+CD$4*$K77+CD$5*$L77+CD$6</f>
        <v>0.10718892932316319</v>
      </c>
      <c r="CE77" s="2">
        <f ca="1">CE$2*$I77+CE$3*$J77+CE$4*$K77+CE$5*$L77+CE$6</f>
        <v>6.2657010676432506E-2</v>
      </c>
      <c r="CF77" s="2">
        <f ca="1">CF$2*$I77+CF$3*$J77+CF$4*$K77+CF$5*$L77+CF$6</f>
        <v>0.7520431766616843</v>
      </c>
      <c r="CG77" s="2">
        <f t="shared" ca="1" si="12"/>
        <v>1.113144540258699</v>
      </c>
      <c r="CH77" s="2">
        <f t="shared" ca="1" si="9"/>
        <v>1.0646616090347458</v>
      </c>
      <c r="CI77" s="2">
        <f t="shared" ca="1" si="10"/>
        <v>2.1213298434336938</v>
      </c>
      <c r="CJ77" s="2">
        <f t="shared" ca="1" si="13"/>
        <v>4.2991359927271384</v>
      </c>
      <c r="CK77" s="2">
        <f ca="1">CG77/'1'!$H77</f>
        <v>0.28077831441270301</v>
      </c>
      <c r="CL77" s="2">
        <f t="shared" ca="1" si="14"/>
        <v>0.2476454829146687</v>
      </c>
      <c r="CM77" s="2">
        <f t="shared" ca="1" si="15"/>
        <v>0.49343166790312148</v>
      </c>
      <c r="CN77" s="2">
        <f ca="1">-$M77*LOG(CK77)</f>
        <v>0</v>
      </c>
      <c r="CO77" s="2">
        <f ca="1">-$N77*LOG(CL77)</f>
        <v>0.60616958919626285</v>
      </c>
      <c r="CP77" s="2">
        <f ca="1">-$O77*LOG(CM77)</f>
        <v>0</v>
      </c>
      <c r="CQ77" s="2">
        <f t="shared" ca="1" si="11"/>
        <v>0.60616958919626285</v>
      </c>
      <c r="CR77" s="2"/>
      <c r="CS77" s="2">
        <f ca="1">(CK77-'2'!Z77)*'2'!V77</f>
        <v>0.22224018074701271</v>
      </c>
      <c r="CT77" s="2">
        <f>('1'!$I77-$M77)*'2'!W77</f>
        <v>1.2345679012345692E-2</v>
      </c>
      <c r="CU77" s="2">
        <f>('1'!$I77-$M77)*'2'!X77</f>
        <v>8.7884494664155682E-2</v>
      </c>
      <c r="CV77" s="2">
        <f>('1'!$I77-$M77)*'2'!Y77</f>
        <v>8.6419753086419776E-2</v>
      </c>
      <c r="CW77" s="2">
        <f>('1'!$I77-$M77)</f>
        <v>0.33333333333333331</v>
      </c>
      <c r="CX77" s="2">
        <f>('1'!$J77-$N77)*'2'!V77</f>
        <v>-0.15637860082304533</v>
      </c>
      <c r="CY77" s="2">
        <f>('1'!$J77-$N77)*'2'!W77</f>
        <v>-2.4691358024691388E-2</v>
      </c>
      <c r="CZ77" s="2">
        <f>('1'!$J77-$N77)*'2'!X77</f>
        <v>-0.17576898932831139</v>
      </c>
      <c r="DA77" s="2">
        <f>('1'!$J77-$N77)*'2'!Y77</f>
        <v>-0.17283950617283958</v>
      </c>
      <c r="DB77" s="2">
        <f>('1'!$J77-$N77)</f>
        <v>-0.66666666666666674</v>
      </c>
      <c r="DC77" s="2">
        <f>('1'!$K77-$O77)*'2'!V77</f>
        <v>7.8189300411522653E-2</v>
      </c>
      <c r="DD77" s="2">
        <f>('1'!$K77-$O77)*'2'!W77</f>
        <v>1.2345679012345692E-2</v>
      </c>
      <c r="DE77" s="2">
        <f>('1'!$K77-$O77)*'2'!X77</f>
        <v>8.7884494664155682E-2</v>
      </c>
      <c r="DF77" s="2">
        <f>('1'!$K77-$O77)*'2'!Y77</f>
        <v>8.6419753086419776E-2</v>
      </c>
      <c r="DG77" s="2">
        <f>('1'!$K77-$O77)</f>
        <v>0.33333333333333331</v>
      </c>
    </row>
    <row r="78" spans="2:111" ht="15" x14ac:dyDescent="0.25">
      <c r="B78" s="1">
        <v>5.6</v>
      </c>
      <c r="C78" s="1">
        <v>2.5</v>
      </c>
      <c r="D78" s="1">
        <v>3.9</v>
      </c>
      <c r="E78" s="1">
        <v>1.1000000000000001</v>
      </c>
      <c r="F78" s="1" t="s">
        <v>6</v>
      </c>
      <c r="I78" s="2">
        <f>(B78-B$5)/(B$4-B$5)</f>
        <v>0.36111111111111099</v>
      </c>
      <c r="J78" s="2">
        <f>(C78-C$5)/(C$4-C$5)</f>
        <v>0.20833333333333331</v>
      </c>
      <c r="K78" s="2">
        <f>(D78-D$5)/(D$4-D$5)</f>
        <v>0.49152542372881353</v>
      </c>
      <c r="L78" s="2">
        <f>(E78-E$5)/(E$4-E$5)</f>
        <v>0.41666666666666669</v>
      </c>
      <c r="M78" s="3">
        <f>IF($F78=M$8,1,0)</f>
        <v>0</v>
      </c>
      <c r="N78" s="3">
        <f>IF($F78=N$8,1,0)</f>
        <v>1</v>
      </c>
      <c r="O78" s="3">
        <f>IF($F78=O$8,1,0)</f>
        <v>0</v>
      </c>
      <c r="CD78" s="2">
        <f ca="1">CD$2*$I78+CD$3*$J78+CD$4*$K78+CD$5*$L78+CD$6</f>
        <v>0.13673223382001398</v>
      </c>
      <c r="CE78" s="2">
        <f ca="1">CE$2*$I78+CE$3*$J78+CE$4*$K78+CE$5*$L78+CE$6</f>
        <v>6.1919605887323668E-2</v>
      </c>
      <c r="CF78" s="2">
        <f ca="1">CF$2*$I78+CF$3*$J78+CF$4*$K78+CF$5*$L78+CF$6</f>
        <v>0.60681179573442523</v>
      </c>
      <c r="CG78" s="2">
        <f t="shared" ca="1" si="12"/>
        <v>1.1465211078373583</v>
      </c>
      <c r="CH78" s="2">
        <f t="shared" ca="1" si="9"/>
        <v>1.0638768118576238</v>
      </c>
      <c r="CI78" s="2">
        <f t="shared" ca="1" si="10"/>
        <v>1.8345730712802268</v>
      </c>
      <c r="CJ78" s="2">
        <f t="shared" ca="1" si="13"/>
        <v>4.0449709909752087</v>
      </c>
      <c r="CK78" s="2">
        <f ca="1">CG78/'1'!$H78</f>
        <v>0.29830354356533106</v>
      </c>
      <c r="CL78" s="2">
        <f t="shared" ca="1" si="14"/>
        <v>0.26301222288892906</v>
      </c>
      <c r="CM78" s="2">
        <f t="shared" ca="1" si="15"/>
        <v>0.4535441849579066</v>
      </c>
      <c r="CN78" s="2">
        <f ca="1">-$M78*LOG(CK78)</f>
        <v>0</v>
      </c>
      <c r="CO78" s="2">
        <f ca="1">-$N78*LOG(CL78)</f>
        <v>0.58002406820276453</v>
      </c>
      <c r="CP78" s="2">
        <f ca="1">-$O78*LOG(CM78)</f>
        <v>0</v>
      </c>
      <c r="CQ78" s="2">
        <f t="shared" ca="1" si="11"/>
        <v>0.58002406820276453</v>
      </c>
      <c r="CR78" s="2"/>
      <c r="CS78" s="2">
        <f ca="1">(CK78-'2'!Z78)*'2'!V78</f>
        <v>0.15487176213599965</v>
      </c>
      <c r="CT78" s="2">
        <f>('1'!$I78-$M78)*'2'!W78</f>
        <v>3.0864197530864199E-2</v>
      </c>
      <c r="CU78" s="2">
        <f>('1'!$I78-$M78)*'2'!X78</f>
        <v>7.2818581293157575E-2</v>
      </c>
      <c r="CV78" s="2">
        <f>('1'!$I78-$M78)*'2'!Y78</f>
        <v>6.1728395061728419E-2</v>
      </c>
      <c r="CW78" s="2">
        <f>('1'!$I78-$M78)</f>
        <v>0.33333333333333331</v>
      </c>
      <c r="CX78" s="2">
        <f>('1'!$J78-$N78)*'2'!V78</f>
        <v>-0.10699588477366256</v>
      </c>
      <c r="CY78" s="2">
        <f>('1'!$J78-$N78)*'2'!W78</f>
        <v>-6.1728395061728406E-2</v>
      </c>
      <c r="CZ78" s="2">
        <f>('1'!$J78-$N78)*'2'!X78</f>
        <v>-0.14563716258631518</v>
      </c>
      <c r="DA78" s="2">
        <f>('1'!$J78-$N78)*'2'!Y78</f>
        <v>-0.12345679012345685</v>
      </c>
      <c r="DB78" s="2">
        <f>('1'!$J78-$N78)</f>
        <v>-0.66666666666666674</v>
      </c>
      <c r="DC78" s="2">
        <f>('1'!$K78-$O78)*'2'!V78</f>
        <v>5.3497942386831268E-2</v>
      </c>
      <c r="DD78" s="2">
        <f>('1'!$K78-$O78)*'2'!W78</f>
        <v>3.0864197530864199E-2</v>
      </c>
      <c r="DE78" s="2">
        <f>('1'!$K78-$O78)*'2'!X78</f>
        <v>7.2818581293157575E-2</v>
      </c>
      <c r="DF78" s="2">
        <f>('1'!$K78-$O78)*'2'!Y78</f>
        <v>6.1728395061728419E-2</v>
      </c>
      <c r="DG78" s="2">
        <f>('1'!$K78-$O78)</f>
        <v>0.33333333333333331</v>
      </c>
    </row>
    <row r="79" spans="2:111" ht="15" x14ac:dyDescent="0.25">
      <c r="B79" s="1">
        <v>5.9</v>
      </c>
      <c r="C79" s="1">
        <v>3.2</v>
      </c>
      <c r="D79" s="1">
        <v>4.8</v>
      </c>
      <c r="E79" s="1">
        <v>1.8</v>
      </c>
      <c r="F79" s="1" t="s">
        <v>6</v>
      </c>
      <c r="I79" s="2">
        <f>(B79-B$5)/(B$4-B$5)</f>
        <v>0.44444444444444453</v>
      </c>
      <c r="J79" s="2">
        <f>(C79-C$5)/(C$4-C$5)</f>
        <v>0.5</v>
      </c>
      <c r="K79" s="2">
        <f>(D79-D$5)/(D$4-D$5)</f>
        <v>0.64406779661016944</v>
      </c>
      <c r="L79" s="2">
        <f>(E79-E$5)/(E$4-E$5)</f>
        <v>0.70833333333333337</v>
      </c>
      <c r="M79" s="3">
        <f>IF($F79=M$8,1,0)</f>
        <v>0</v>
      </c>
      <c r="N79" s="3">
        <f>IF($F79=N$8,1,0)</f>
        <v>1</v>
      </c>
      <c r="O79" s="3">
        <f>IF($F79=O$8,1,0)</f>
        <v>0</v>
      </c>
      <c r="CD79" s="2">
        <f ca="1">CD$2*$I79+CD$3*$J79+CD$4*$K79+CD$5*$L79+CD$6</f>
        <v>0.18966910822648944</v>
      </c>
      <c r="CE79" s="2">
        <f ca="1">CE$2*$I79+CE$3*$J79+CE$4*$K79+CE$5*$L79+CE$6</f>
        <v>2.5602264697576413E-2</v>
      </c>
      <c r="CF79" s="2">
        <f ca="1">CF$2*$I79+CF$3*$J79+CF$4*$K79+CF$5*$L79+CF$6</f>
        <v>0.85195191292725858</v>
      </c>
      <c r="CG79" s="2">
        <f t="shared" ca="1" si="12"/>
        <v>1.2088495331059503</v>
      </c>
      <c r="CH79" s="2">
        <f t="shared" ca="1" si="9"/>
        <v>1.0259328176153168</v>
      </c>
      <c r="CI79" s="2">
        <f t="shared" ca="1" si="10"/>
        <v>2.3442180987480108</v>
      </c>
      <c r="CJ79" s="2">
        <f t="shared" ca="1" si="13"/>
        <v>4.5790004494692784</v>
      </c>
      <c r="CK79" s="2">
        <f ca="1">CG79/'1'!$H79</f>
        <v>0.2897816015342019</v>
      </c>
      <c r="CL79" s="2">
        <f t="shared" ca="1" si="14"/>
        <v>0.22405169620243778</v>
      </c>
      <c r="CM79" s="2">
        <f t="shared" ca="1" si="15"/>
        <v>0.51194974200531329</v>
      </c>
      <c r="CN79" s="2">
        <f ca="1">-$M79*LOG(CK79)</f>
        <v>0</v>
      </c>
      <c r="CO79" s="2">
        <f ca="1">-$N79*LOG(CL79)</f>
        <v>0.64965176387514922</v>
      </c>
      <c r="CP79" s="2">
        <f ca="1">-$O79*LOG(CM79)</f>
        <v>0</v>
      </c>
      <c r="CQ79" s="2">
        <f t="shared" ca="1" si="11"/>
        <v>0.64965176387514922</v>
      </c>
      <c r="CR79" s="2"/>
      <c r="CS79" s="2">
        <f ca="1">(CK79-'2'!Z79)*'2'!V79</f>
        <v>0.18892805297794937</v>
      </c>
      <c r="CT79" s="2">
        <f>('1'!$I79-$M79)*'2'!W79</f>
        <v>7.4074074074074084E-2</v>
      </c>
      <c r="CU79" s="2">
        <f>('1'!$I79-$M79)*'2'!X79</f>
        <v>9.5417451349654722E-2</v>
      </c>
      <c r="CV79" s="2">
        <f>('1'!$I79-$M79)*'2'!Y79</f>
        <v>0.10493827160493827</v>
      </c>
      <c r="CW79" s="2">
        <f>('1'!$I79-$M79)</f>
        <v>0.33333333333333337</v>
      </c>
      <c r="CX79" s="2">
        <f>('1'!$J79-$N79)*'2'!V79</f>
        <v>-0.13168724279835392</v>
      </c>
      <c r="CY79" s="2">
        <f>('1'!$J79-$N79)*'2'!W79</f>
        <v>-0.14814814814814814</v>
      </c>
      <c r="CZ79" s="2">
        <f>('1'!$J79-$N79)*'2'!X79</f>
        <v>-0.19083490269930942</v>
      </c>
      <c r="DA79" s="2">
        <f>('1'!$J79-$N79)*'2'!Y79</f>
        <v>-0.2098765432098765</v>
      </c>
      <c r="DB79" s="2">
        <f>('1'!$J79-$N79)</f>
        <v>-0.66666666666666663</v>
      </c>
      <c r="DC79" s="2">
        <f>('1'!$K79-$O79)*'2'!V79</f>
        <v>6.5843621399176974E-2</v>
      </c>
      <c r="DD79" s="2">
        <f>('1'!$K79-$O79)*'2'!W79</f>
        <v>7.4074074074074084E-2</v>
      </c>
      <c r="DE79" s="2">
        <f>('1'!$K79-$O79)*'2'!X79</f>
        <v>9.5417451349654722E-2</v>
      </c>
      <c r="DF79" s="2">
        <f>('1'!$K79-$O79)*'2'!Y79</f>
        <v>0.10493827160493827</v>
      </c>
      <c r="DG79" s="2">
        <f>('1'!$K79-$O79)</f>
        <v>0.33333333333333337</v>
      </c>
    </row>
    <row r="80" spans="2:111" ht="15" x14ac:dyDescent="0.25">
      <c r="B80" s="1">
        <v>6.1</v>
      </c>
      <c r="C80" s="1">
        <v>2.8</v>
      </c>
      <c r="D80" s="1">
        <v>4</v>
      </c>
      <c r="E80" s="1">
        <v>1.3</v>
      </c>
      <c r="F80" s="1" t="s">
        <v>6</v>
      </c>
      <c r="I80" s="2">
        <f>(B80-B$5)/(B$4-B$5)</f>
        <v>0.49999999999999989</v>
      </c>
      <c r="J80" s="2">
        <f>(C80-C$5)/(C$4-C$5)</f>
        <v>0.3333333333333332</v>
      </c>
      <c r="K80" s="2">
        <f>(D80-D$5)/(D$4-D$5)</f>
        <v>0.50847457627118642</v>
      </c>
      <c r="L80" s="2">
        <f>(E80-E$5)/(E$4-E$5)</f>
        <v>0.5</v>
      </c>
      <c r="M80" s="3">
        <f>IF($F80=M$8,1,0)</f>
        <v>0</v>
      </c>
      <c r="N80" s="3">
        <f>IF($F80=N$8,1,0)</f>
        <v>1</v>
      </c>
      <c r="O80" s="3">
        <f>IF($F80=O$8,1,0)</f>
        <v>0</v>
      </c>
      <c r="CD80" s="2">
        <f ca="1">CD$2*$I80+CD$3*$J80+CD$4*$K80+CD$5*$L80+CD$6</f>
        <v>0.180063325271477</v>
      </c>
      <c r="CE80" s="2">
        <f ca="1">CE$2*$I80+CE$3*$J80+CE$4*$K80+CE$5*$L80+CE$6</f>
        <v>4.3521648100318513E-2</v>
      </c>
      <c r="CF80" s="2">
        <f ca="1">CF$2*$I80+CF$3*$J80+CF$4*$K80+CF$5*$L80+CF$6</f>
        <v>0.70778528988636302</v>
      </c>
      <c r="CG80" s="2">
        <f t="shared" ca="1" si="12"/>
        <v>1.1972931796368722</v>
      </c>
      <c r="CH80" s="2">
        <f t="shared" ca="1" si="9"/>
        <v>1.0444826051315015</v>
      </c>
      <c r="CI80" s="2">
        <f t="shared" ca="1" si="10"/>
        <v>2.0294915422581106</v>
      </c>
      <c r="CJ80" s="2">
        <f t="shared" ca="1" si="13"/>
        <v>4.271267327026484</v>
      </c>
      <c r="CK80" s="2">
        <f ca="1">CG80/'1'!$H80</f>
        <v>0.30037314686270539</v>
      </c>
      <c r="CL80" s="2">
        <f t="shared" ca="1" si="14"/>
        <v>0.24453693135115379</v>
      </c>
      <c r="CM80" s="2">
        <f t="shared" ca="1" si="15"/>
        <v>0.47514973586796683</v>
      </c>
      <c r="CN80" s="2">
        <f ca="1">-$M80*LOG(CK80)</f>
        <v>0</v>
      </c>
      <c r="CO80" s="2">
        <f ca="1">-$N80*LOG(CL80)</f>
        <v>0.61165554197677041</v>
      </c>
      <c r="CP80" s="2">
        <f ca="1">-$O80*LOG(CM80)</f>
        <v>0</v>
      </c>
      <c r="CQ80" s="2">
        <f t="shared" ca="1" si="11"/>
        <v>0.61165554197677041</v>
      </c>
      <c r="CR80" s="2"/>
      <c r="CS80" s="2">
        <f ca="1">(CK80-'2'!Z80)*'2'!V80</f>
        <v>0.21489773633986048</v>
      </c>
      <c r="CT80" s="2">
        <f>('1'!$I80-$M80)*'2'!W80</f>
        <v>4.9382716049382699E-2</v>
      </c>
      <c r="CU80" s="2">
        <f>('1'!$I80-$M80)*'2'!X80</f>
        <v>7.5329566854990593E-2</v>
      </c>
      <c r="CV80" s="2">
        <f>('1'!$I80-$M80)*'2'!Y80</f>
        <v>7.4074074074074084E-2</v>
      </c>
      <c r="CW80" s="2">
        <f>('1'!$I80-$M80)</f>
        <v>0.33333333333333331</v>
      </c>
      <c r="CX80" s="2">
        <f>('1'!$J80-$N80)*'2'!V80</f>
        <v>-0.14814814814814817</v>
      </c>
      <c r="CY80" s="2">
        <f>('1'!$J80-$N80)*'2'!W80</f>
        <v>-9.8765432098765413E-2</v>
      </c>
      <c r="CZ80" s="2">
        <f>('1'!$J80-$N80)*'2'!X80</f>
        <v>-0.15065913370998121</v>
      </c>
      <c r="DA80" s="2">
        <f>('1'!$J80-$N80)*'2'!Y80</f>
        <v>-0.1481481481481482</v>
      </c>
      <c r="DB80" s="2">
        <f>('1'!$J80-$N80)</f>
        <v>-0.66666666666666674</v>
      </c>
      <c r="DC80" s="2">
        <f>('1'!$K80-$O80)*'2'!V80</f>
        <v>7.407407407407407E-2</v>
      </c>
      <c r="DD80" s="2">
        <f>('1'!$K80-$O80)*'2'!W80</f>
        <v>4.9382716049382699E-2</v>
      </c>
      <c r="DE80" s="2">
        <f>('1'!$K80-$O80)*'2'!X80</f>
        <v>7.5329566854990593E-2</v>
      </c>
      <c r="DF80" s="2">
        <f>('1'!$K80-$O80)*'2'!Y80</f>
        <v>7.4074074074074084E-2</v>
      </c>
      <c r="DG80" s="2">
        <f>('1'!$K80-$O80)</f>
        <v>0.33333333333333331</v>
      </c>
    </row>
    <row r="81" spans="2:111" ht="15" x14ac:dyDescent="0.25">
      <c r="B81" s="1">
        <v>6.3</v>
      </c>
      <c r="C81" s="1">
        <v>2.5</v>
      </c>
      <c r="D81" s="1">
        <v>4.9000000000000004</v>
      </c>
      <c r="E81" s="1">
        <v>1.5</v>
      </c>
      <c r="F81" s="1" t="s">
        <v>6</v>
      </c>
      <c r="I81" s="2">
        <f>(B81-B$5)/(B$4-B$5)</f>
        <v>0.55555555555555547</v>
      </c>
      <c r="J81" s="2">
        <f>(C81-C$5)/(C$4-C$5)</f>
        <v>0.20833333333333331</v>
      </c>
      <c r="K81" s="2">
        <f>(D81-D$5)/(D$4-D$5)</f>
        <v>0.66101694915254239</v>
      </c>
      <c r="L81" s="2">
        <f>(E81-E$5)/(E$4-E$5)</f>
        <v>0.58333333333333337</v>
      </c>
      <c r="M81" s="3">
        <f>IF($F81=M$8,1,0)</f>
        <v>0</v>
      </c>
      <c r="N81" s="3">
        <f>IF($F81=N$8,1,0)</f>
        <v>1</v>
      </c>
      <c r="O81" s="3">
        <f>IF($F81=O$8,1,0)</f>
        <v>0</v>
      </c>
      <c r="CD81" s="2">
        <f ca="1">CD$2*$I81+CD$3*$J81+CD$4*$K81+CD$5*$L81+CD$6</f>
        <v>0.13861398538122749</v>
      </c>
      <c r="CE81" s="2">
        <f ca="1">CE$2*$I81+CE$3*$J81+CE$4*$K81+CE$5*$L81+CE$6</f>
        <v>5.1778138732921537E-2</v>
      </c>
      <c r="CF81" s="2">
        <f ca="1">CF$2*$I81+CF$3*$J81+CF$4*$K81+CF$5*$L81+CF$6</f>
        <v>0.80371636098361854</v>
      </c>
      <c r="CG81" s="2">
        <f t="shared" ca="1" si="12"/>
        <v>1.1486806069051365</v>
      </c>
      <c r="CH81" s="2">
        <f t="shared" ca="1" si="9"/>
        <v>1.0531420651593564</v>
      </c>
      <c r="CI81" s="2">
        <f t="shared" ca="1" si="10"/>
        <v>2.2338272298730635</v>
      </c>
      <c r="CJ81" s="2">
        <f t="shared" ca="1" si="13"/>
        <v>4.4356499019375564</v>
      </c>
      <c r="CK81" s="2">
        <f ca="1">CG81/'1'!$H81</f>
        <v>0.28342089622110289</v>
      </c>
      <c r="CL81" s="2">
        <f t="shared" ca="1" si="14"/>
        <v>0.23742677813668941</v>
      </c>
      <c r="CM81" s="2">
        <f t="shared" ca="1" si="15"/>
        <v>0.50360765147341657</v>
      </c>
      <c r="CN81" s="2">
        <f ca="1">-$M81*LOG(CK81)</f>
        <v>0</v>
      </c>
      <c r="CO81" s="2">
        <f ca="1">-$N81*LOG(CL81)</f>
        <v>0.62447030079358345</v>
      </c>
      <c r="CP81" s="2">
        <f ca="1">-$O81*LOG(CM81)</f>
        <v>0</v>
      </c>
      <c r="CQ81" s="2">
        <f t="shared" ca="1" si="11"/>
        <v>0.62447030079358345</v>
      </c>
      <c r="CR81" s="2"/>
      <c r="CS81" s="2">
        <f ca="1">(CK81-'2'!Z81)*'2'!V81</f>
        <v>0.23458952170068387</v>
      </c>
      <c r="CT81" s="2">
        <f>('1'!$I81-$M81)*'2'!W81</f>
        <v>3.0864197530864199E-2</v>
      </c>
      <c r="CU81" s="2">
        <f>('1'!$I81-$M81)*'2'!X81</f>
        <v>9.7928436911487782E-2</v>
      </c>
      <c r="CV81" s="2">
        <f>('1'!$I81-$M81)*'2'!Y81</f>
        <v>8.6419753086419776E-2</v>
      </c>
      <c r="CW81" s="2">
        <f>('1'!$I81-$M81)</f>
        <v>0.33333333333333331</v>
      </c>
      <c r="CX81" s="2">
        <f>('1'!$J81-$N81)*'2'!V81</f>
        <v>-0.16460905349794241</v>
      </c>
      <c r="CY81" s="2">
        <f>('1'!$J81-$N81)*'2'!W81</f>
        <v>-6.1728395061728406E-2</v>
      </c>
      <c r="CZ81" s="2">
        <f>('1'!$J81-$N81)*'2'!X81</f>
        <v>-0.19585687382297559</v>
      </c>
      <c r="DA81" s="2">
        <f>('1'!$J81-$N81)*'2'!Y81</f>
        <v>-0.17283950617283958</v>
      </c>
      <c r="DB81" s="2">
        <f>('1'!$J81-$N81)</f>
        <v>-0.66666666666666674</v>
      </c>
      <c r="DC81" s="2">
        <f>('1'!$K81-$O81)*'2'!V81</f>
        <v>8.2304526748971193E-2</v>
      </c>
      <c r="DD81" s="2">
        <f>('1'!$K81-$O81)*'2'!W81</f>
        <v>3.0864197530864199E-2</v>
      </c>
      <c r="DE81" s="2">
        <f>('1'!$K81-$O81)*'2'!X81</f>
        <v>9.7928436911487782E-2</v>
      </c>
      <c r="DF81" s="2">
        <f>('1'!$K81-$O81)*'2'!Y81</f>
        <v>8.6419753086419776E-2</v>
      </c>
      <c r="DG81" s="2">
        <f>('1'!$K81-$O81)</f>
        <v>0.33333333333333331</v>
      </c>
    </row>
    <row r="82" spans="2:111" ht="15" x14ac:dyDescent="0.25">
      <c r="B82" s="1">
        <v>6.1</v>
      </c>
      <c r="C82" s="1">
        <v>2.8</v>
      </c>
      <c r="D82" s="1">
        <v>4.7</v>
      </c>
      <c r="E82" s="1">
        <v>1.2</v>
      </c>
      <c r="F82" s="1" t="s">
        <v>6</v>
      </c>
      <c r="I82" s="2">
        <f>(B82-B$5)/(B$4-B$5)</f>
        <v>0.49999999999999989</v>
      </c>
      <c r="J82" s="2">
        <f>(C82-C$5)/(C$4-C$5)</f>
        <v>0.3333333333333332</v>
      </c>
      <c r="K82" s="2">
        <f>(D82-D$5)/(D$4-D$5)</f>
        <v>0.6271186440677966</v>
      </c>
      <c r="L82" s="2">
        <f>(E82-E$5)/(E$4-E$5)</f>
        <v>0.45833333333333331</v>
      </c>
      <c r="M82" s="3">
        <f>IF($F82=M$8,1,0)</f>
        <v>0</v>
      </c>
      <c r="N82" s="3">
        <f>IF($F82=N$8,1,0)</f>
        <v>1</v>
      </c>
      <c r="O82" s="3">
        <f>IF($F82=O$8,1,0)</f>
        <v>0</v>
      </c>
      <c r="CD82" s="2">
        <f ca="1">CD$2*$I82+CD$3*$J82+CD$4*$K82+CD$5*$L82+CD$6</f>
        <v>0.17545445946694344</v>
      </c>
      <c r="CE82" s="2">
        <f ca="1">CE$2*$I82+CE$3*$J82+CE$4*$K82+CE$5*$L82+CE$6</f>
        <v>4.6699289334544397E-2</v>
      </c>
      <c r="CF82" s="2">
        <f ca="1">CF$2*$I82+CF$3*$J82+CF$4*$K82+CF$5*$L82+CF$6</f>
        <v>0.73731290922310733</v>
      </c>
      <c r="CG82" s="2">
        <f t="shared" ca="1" si="12"/>
        <v>1.1917877127676655</v>
      </c>
      <c r="CH82" s="2">
        <f t="shared" ca="1" si="9"/>
        <v>1.0478068749972911</v>
      </c>
      <c r="CI82" s="2">
        <f t="shared" ca="1" si="10"/>
        <v>2.0903111055373551</v>
      </c>
      <c r="CJ82" s="2">
        <f t="shared" ca="1" si="13"/>
        <v>4.3299056933023117</v>
      </c>
      <c r="CK82" s="2">
        <f ca="1">CG82/'1'!$H82</f>
        <v>0.29669922603257859</v>
      </c>
      <c r="CL82" s="2">
        <f t="shared" ca="1" si="14"/>
        <v>0.24199300151457911</v>
      </c>
      <c r="CM82" s="2">
        <f t="shared" ca="1" si="15"/>
        <v>0.48276134715144953</v>
      </c>
      <c r="CN82" s="2">
        <f ca="1">-$M82*LOG(CK82)</f>
        <v>0</v>
      </c>
      <c r="CO82" s="2">
        <f ca="1">-$N82*LOG(CL82)</f>
        <v>0.616197193720187</v>
      </c>
      <c r="CP82" s="2">
        <f ca="1">-$O82*LOG(CM82)</f>
        <v>0</v>
      </c>
      <c r="CQ82" s="2">
        <f t="shared" ca="1" si="11"/>
        <v>0.616197193720187</v>
      </c>
      <c r="CR82" s="2"/>
      <c r="CS82" s="2">
        <f ca="1">(CK82-'2'!Z82)*'2'!V82</f>
        <v>0.21408130948872109</v>
      </c>
      <c r="CT82" s="2">
        <f>('1'!$I82-$M82)*'2'!W82</f>
        <v>4.9382716049382699E-2</v>
      </c>
      <c r="CU82" s="2">
        <f>('1'!$I82-$M82)*'2'!X82</f>
        <v>9.2906465787821718E-2</v>
      </c>
      <c r="CV82" s="2">
        <f>('1'!$I82-$M82)*'2'!Y82</f>
        <v>6.7901234567901231E-2</v>
      </c>
      <c r="CW82" s="2">
        <f>('1'!$I82-$M82)</f>
        <v>0.33333333333333337</v>
      </c>
      <c r="CX82" s="2">
        <f>('1'!$J82-$N82)*'2'!V82</f>
        <v>-0.14814814814814808</v>
      </c>
      <c r="CY82" s="2">
        <f>('1'!$J82-$N82)*'2'!W82</f>
        <v>-9.8765432098765385E-2</v>
      </c>
      <c r="CZ82" s="2">
        <f>('1'!$J82-$N82)*'2'!X82</f>
        <v>-0.18581293157564341</v>
      </c>
      <c r="DA82" s="2">
        <f>('1'!$J82-$N82)*'2'!Y82</f>
        <v>-0.13580246913580243</v>
      </c>
      <c r="DB82" s="2">
        <f>('1'!$J82-$N82)</f>
        <v>-0.66666666666666663</v>
      </c>
      <c r="DC82" s="2">
        <f>('1'!$K82-$O82)*'2'!V82</f>
        <v>7.4074074074074056E-2</v>
      </c>
      <c r="DD82" s="2">
        <f>('1'!$K82-$O82)*'2'!W82</f>
        <v>4.9382716049382699E-2</v>
      </c>
      <c r="DE82" s="2">
        <f>('1'!$K82-$O82)*'2'!X82</f>
        <v>9.2906465787821718E-2</v>
      </c>
      <c r="DF82" s="2">
        <f>('1'!$K82-$O82)*'2'!Y82</f>
        <v>6.7901234567901231E-2</v>
      </c>
      <c r="DG82" s="2">
        <f>('1'!$K82-$O82)</f>
        <v>0.33333333333333337</v>
      </c>
    </row>
    <row r="83" spans="2:111" ht="15" x14ac:dyDescent="0.25">
      <c r="B83" s="1">
        <v>6.4</v>
      </c>
      <c r="C83" s="1">
        <v>2.9</v>
      </c>
      <c r="D83" s="1">
        <v>4.3</v>
      </c>
      <c r="E83" s="1">
        <v>1.3</v>
      </c>
      <c r="F83" s="1" t="s">
        <v>6</v>
      </c>
      <c r="I83" s="2">
        <f>(B83-B$5)/(B$4-B$5)</f>
        <v>0.58333333333333337</v>
      </c>
      <c r="J83" s="2">
        <f>(C83-C$5)/(C$4-C$5)</f>
        <v>0.37499999999999989</v>
      </c>
      <c r="K83" s="2">
        <f>(D83-D$5)/(D$4-D$5)</f>
        <v>0.55932203389830504</v>
      </c>
      <c r="L83" s="2">
        <f>(E83-E$5)/(E$4-E$5)</f>
        <v>0.5</v>
      </c>
      <c r="M83" s="3">
        <f>IF($F83=M$8,1,0)</f>
        <v>0</v>
      </c>
      <c r="N83" s="3">
        <f>IF($F83=N$8,1,0)</f>
        <v>1</v>
      </c>
      <c r="O83" s="3">
        <f>IF($F83=O$8,1,0)</f>
        <v>0</v>
      </c>
      <c r="CD83" s="2">
        <f ca="1">CD$2*$I83+CD$3*$J83+CD$4*$K83+CD$5*$L83+CD$6</f>
        <v>0.19875526000485766</v>
      </c>
      <c r="CE83" s="2">
        <f ca="1">CE$2*$I83+CE$3*$J83+CE$4*$K83+CE$5*$L83+CE$6</f>
        <v>3.7727527420941487E-2</v>
      </c>
      <c r="CF83" s="2">
        <f ca="1">CF$2*$I83+CF$3*$J83+CF$4*$K83+CF$5*$L83+CF$6</f>
        <v>0.75935021644211798</v>
      </c>
      <c r="CG83" s="2">
        <f t="shared" ca="1" si="12"/>
        <v>1.2198833751115099</v>
      </c>
      <c r="CH83" s="2">
        <f t="shared" ca="1" si="9"/>
        <v>1.0384482456554067</v>
      </c>
      <c r="CI83" s="2">
        <f t="shared" ca="1" si="10"/>
        <v>2.1368872550788458</v>
      </c>
      <c r="CJ83" s="2">
        <f t="shared" ca="1" si="13"/>
        <v>4.395218875845762</v>
      </c>
      <c r="CK83" s="2">
        <f ca="1">CG83/'1'!$H83</f>
        <v>0.30070590087479027</v>
      </c>
      <c r="CL83" s="2">
        <f t="shared" ca="1" si="14"/>
        <v>0.2362676979210917</v>
      </c>
      <c r="CM83" s="2">
        <f t="shared" ca="1" si="15"/>
        <v>0.48618449170353306</v>
      </c>
      <c r="CN83" s="2">
        <f ca="1">-$M83*LOG(CK83)</f>
        <v>0</v>
      </c>
      <c r="CO83" s="2">
        <f ca="1">-$N83*LOG(CL83)</f>
        <v>0.626595650240518</v>
      </c>
      <c r="CP83" s="2">
        <f ca="1">-$O83*LOG(CM83)</f>
        <v>0</v>
      </c>
      <c r="CQ83" s="2">
        <f t="shared" ca="1" si="11"/>
        <v>0.626595650240518</v>
      </c>
      <c r="CR83" s="2"/>
      <c r="CS83" s="2">
        <f ca="1">(CK83-'2'!Z83)*'2'!V83</f>
        <v>0.25080029528852582</v>
      </c>
      <c r="CT83" s="2">
        <f>('1'!$I83-$M83)*'2'!W83</f>
        <v>5.5555555555555539E-2</v>
      </c>
      <c r="CU83" s="2">
        <f>('1'!$I83-$M83)*'2'!X83</f>
        <v>8.2862523540489633E-2</v>
      </c>
      <c r="CV83" s="2">
        <f>('1'!$I83-$M83)*'2'!Y83</f>
        <v>7.4074074074074084E-2</v>
      </c>
      <c r="CW83" s="2">
        <f>('1'!$I83-$M83)</f>
        <v>0.33333333333333337</v>
      </c>
      <c r="CX83" s="2">
        <f>('1'!$J83-$N83)*'2'!V83</f>
        <v>-0.1728395061728395</v>
      </c>
      <c r="CY83" s="2">
        <f>('1'!$J83-$N83)*'2'!W83</f>
        <v>-0.11111111111111106</v>
      </c>
      <c r="CZ83" s="2">
        <f>('1'!$J83-$N83)*'2'!X83</f>
        <v>-0.16572504708097924</v>
      </c>
      <c r="DA83" s="2">
        <f>('1'!$J83-$N83)*'2'!Y83</f>
        <v>-0.14814814814814814</v>
      </c>
      <c r="DB83" s="2">
        <f>('1'!$J83-$N83)</f>
        <v>-0.66666666666666663</v>
      </c>
      <c r="DC83" s="2">
        <f>('1'!$K83-$O83)*'2'!V83</f>
        <v>8.6419753086419762E-2</v>
      </c>
      <c r="DD83" s="2">
        <f>('1'!$K83-$O83)*'2'!W83</f>
        <v>5.5555555555555539E-2</v>
      </c>
      <c r="DE83" s="2">
        <f>('1'!$K83-$O83)*'2'!X83</f>
        <v>8.2862523540489633E-2</v>
      </c>
      <c r="DF83" s="2">
        <f>('1'!$K83-$O83)*'2'!Y83</f>
        <v>7.4074074074074084E-2</v>
      </c>
      <c r="DG83" s="2">
        <f>('1'!$K83-$O83)</f>
        <v>0.33333333333333337</v>
      </c>
    </row>
    <row r="84" spans="2:111" ht="15" x14ac:dyDescent="0.25">
      <c r="B84" s="1">
        <v>6.6</v>
      </c>
      <c r="C84" s="1">
        <v>3</v>
      </c>
      <c r="D84" s="1">
        <v>4.4000000000000004</v>
      </c>
      <c r="E84" s="1">
        <v>1.4</v>
      </c>
      <c r="F84" s="1" t="s">
        <v>6</v>
      </c>
      <c r="I84" s="2">
        <f>(B84-B$5)/(B$4-B$5)</f>
        <v>0.63888888888888873</v>
      </c>
      <c r="J84" s="2">
        <f>(C84-C$5)/(C$4-C$5)</f>
        <v>0.41666666666666663</v>
      </c>
      <c r="K84" s="2">
        <f>(D84-D$5)/(D$4-D$5)</f>
        <v>0.57627118644067798</v>
      </c>
      <c r="L84" s="2">
        <f>(E84-E$5)/(E$4-E$5)</f>
        <v>0.54166666666666663</v>
      </c>
      <c r="M84" s="3">
        <f>IF($F84=M$8,1,0)</f>
        <v>0</v>
      </c>
      <c r="N84" s="3">
        <f>IF($F84=N$8,1,0)</f>
        <v>1</v>
      </c>
      <c r="O84" s="3">
        <f>IF($F84=O$8,1,0)</f>
        <v>0</v>
      </c>
      <c r="CD84" s="2">
        <f ca="1">CD$2*$I84+CD$3*$J84+CD$4*$K84+CD$5*$L84+CD$6</f>
        <v>0.21259724404116181</v>
      </c>
      <c r="CE84" s="2">
        <f ca="1">CE$2*$I84+CE$3*$J84+CE$4*$K84+CE$5*$L84+CE$6</f>
        <v>3.0950427875813785E-2</v>
      </c>
      <c r="CF84" s="2">
        <f ca="1">CF$2*$I84+CF$3*$J84+CF$4*$K84+CF$5*$L84+CF$6</f>
        <v>0.80612767405747998</v>
      </c>
      <c r="CG84" s="2">
        <f t="shared" ca="1" si="12"/>
        <v>1.2368863875480092</v>
      </c>
      <c r="CH84" s="2">
        <f t="shared" ca="1" si="9"/>
        <v>1.0314343722263908</v>
      </c>
      <c r="CI84" s="2">
        <f t="shared" ca="1" si="10"/>
        <v>2.2392201861170724</v>
      </c>
      <c r="CJ84" s="2">
        <f t="shared" ca="1" si="13"/>
        <v>4.5075409458914724</v>
      </c>
      <c r="CK84" s="2">
        <f ca="1">CG84/'1'!$H84</f>
        <v>0.30018258118709362</v>
      </c>
      <c r="CL84" s="2">
        <f t="shared" ca="1" si="14"/>
        <v>0.22882418254381501</v>
      </c>
      <c r="CM84" s="2">
        <f t="shared" ca="1" si="15"/>
        <v>0.49677201227824097</v>
      </c>
      <c r="CN84" s="2">
        <f ca="1">-$M84*LOG(CK84)</f>
        <v>0</v>
      </c>
      <c r="CO84" s="2">
        <f ca="1">-$N84*LOG(CL84)</f>
        <v>0.64049808044560219</v>
      </c>
      <c r="CP84" s="2">
        <f ca="1">-$O84*LOG(CM84)</f>
        <v>0</v>
      </c>
      <c r="CQ84" s="2">
        <f t="shared" ca="1" si="11"/>
        <v>0.64049808044560219</v>
      </c>
      <c r="CR84" s="2"/>
      <c r="CS84" s="2">
        <f ca="1">(CK84-'2'!Z84)*'2'!V84</f>
        <v>0.27453744074859859</v>
      </c>
      <c r="CT84" s="2">
        <f>('1'!$I84-$M84)*'2'!W84</f>
        <v>6.1728395061728399E-2</v>
      </c>
      <c r="CU84" s="2">
        <f>('1'!$I84-$M84)*'2'!X84</f>
        <v>8.5373509102322678E-2</v>
      </c>
      <c r="CV84" s="2">
        <f>('1'!$I84-$M84)*'2'!Y84</f>
        <v>8.0246913580246909E-2</v>
      </c>
      <c r="CW84" s="2">
        <f>('1'!$I84-$M84)</f>
        <v>0.33333333333333331</v>
      </c>
      <c r="CX84" s="2">
        <f>('1'!$J84-$N84)*'2'!V84</f>
        <v>-0.18930041152263374</v>
      </c>
      <c r="CY84" s="2">
        <f>('1'!$J84-$N84)*'2'!W84</f>
        <v>-0.12345679012345681</v>
      </c>
      <c r="CZ84" s="2">
        <f>('1'!$J84-$N84)*'2'!X84</f>
        <v>-0.17074701820464538</v>
      </c>
      <c r="DA84" s="2">
        <f>('1'!$J84-$N84)*'2'!Y84</f>
        <v>-0.16049382716049385</v>
      </c>
      <c r="DB84" s="2">
        <f>('1'!$J84-$N84)</f>
        <v>-0.66666666666666674</v>
      </c>
      <c r="DC84" s="2">
        <f>('1'!$K84-$O84)*'2'!V84</f>
        <v>9.4650205761316858E-2</v>
      </c>
      <c r="DD84" s="2">
        <f>('1'!$K84-$O84)*'2'!W84</f>
        <v>6.1728395061728399E-2</v>
      </c>
      <c r="DE84" s="2">
        <f>('1'!$K84-$O84)*'2'!X84</f>
        <v>8.5373509102322678E-2</v>
      </c>
      <c r="DF84" s="2">
        <f>('1'!$K84-$O84)*'2'!Y84</f>
        <v>8.0246913580246909E-2</v>
      </c>
      <c r="DG84" s="2">
        <f>('1'!$K84-$O84)</f>
        <v>0.33333333333333331</v>
      </c>
    </row>
    <row r="85" spans="2:111" ht="15" x14ac:dyDescent="0.25">
      <c r="B85" s="1">
        <v>6.8</v>
      </c>
      <c r="C85" s="1">
        <v>2.8</v>
      </c>
      <c r="D85" s="1">
        <v>4.8</v>
      </c>
      <c r="E85" s="1">
        <v>1.4</v>
      </c>
      <c r="F85" s="1" t="s">
        <v>6</v>
      </c>
      <c r="I85" s="2">
        <f>(B85-B$5)/(B$4-B$5)</f>
        <v>0.69444444444444431</v>
      </c>
      <c r="J85" s="2">
        <f>(C85-C$5)/(C$4-C$5)</f>
        <v>0.3333333333333332</v>
      </c>
      <c r="K85" s="2">
        <f>(D85-D$5)/(D$4-D$5)</f>
        <v>0.64406779661016944</v>
      </c>
      <c r="L85" s="2">
        <f>(E85-E$5)/(E$4-E$5)</f>
        <v>0.54166666666666663</v>
      </c>
      <c r="M85" s="3">
        <f>IF($F85=M$8,1,0)</f>
        <v>0</v>
      </c>
      <c r="N85" s="3">
        <f>IF($F85=N$8,1,0)</f>
        <v>1</v>
      </c>
      <c r="O85" s="3">
        <f>IF($F85=O$8,1,0)</f>
        <v>0</v>
      </c>
      <c r="CD85" s="2">
        <f ca="1">CD$2*$I85+CD$3*$J85+CD$4*$K85+CD$5*$L85+CD$6</f>
        <v>0.19419525784194441</v>
      </c>
      <c r="CE85" s="2">
        <f ca="1">CE$2*$I85+CE$3*$J85+CE$4*$K85+CE$5*$L85+CE$6</f>
        <v>3.7263380123634601E-2</v>
      </c>
      <c r="CF85" s="2">
        <f ca="1">CF$2*$I85+CF$3*$J85+CF$4*$K85+CF$5*$L85+CF$6</f>
        <v>0.83945750501531646</v>
      </c>
      <c r="CG85" s="2">
        <f t="shared" ca="1" si="12"/>
        <v>1.2143333679219519</v>
      </c>
      <c r="CH85" s="2">
        <f t="shared" ca="1" si="9"/>
        <v>1.0379663645493502</v>
      </c>
      <c r="CI85" s="2">
        <f t="shared" ca="1" si="10"/>
        <v>2.3151107001062092</v>
      </c>
      <c r="CJ85" s="2">
        <f t="shared" ca="1" si="13"/>
        <v>4.5674104325775113</v>
      </c>
      <c r="CK85" s="2">
        <f ca="1">CG85/'1'!$H85</f>
        <v>0.29353210618955466</v>
      </c>
      <c r="CL85" s="2">
        <f t="shared" ca="1" si="14"/>
        <v>0.2272548919943676</v>
      </c>
      <c r="CM85" s="2">
        <f t="shared" ca="1" si="15"/>
        <v>0.50687599336233302</v>
      </c>
      <c r="CN85" s="2">
        <f ca="1">-$M85*LOG(CK85)</f>
        <v>0</v>
      </c>
      <c r="CO85" s="2">
        <f ca="1">-$N85*LOG(CL85)</f>
        <v>0.64348675918061771</v>
      </c>
      <c r="CP85" s="2">
        <f ca="1">-$O85*LOG(CM85)</f>
        <v>0</v>
      </c>
      <c r="CQ85" s="2">
        <f t="shared" ca="1" si="11"/>
        <v>0.64348675918061771</v>
      </c>
      <c r="CR85" s="2"/>
      <c r="CS85" s="2">
        <f ca="1">(CK85-'2'!Z85)*'2'!V85</f>
        <v>0.29635764594327818</v>
      </c>
      <c r="CT85" s="2">
        <f>('1'!$I85-$M85)*'2'!W85</f>
        <v>4.9382716049382699E-2</v>
      </c>
      <c r="CU85" s="2">
        <f>('1'!$I85-$M85)*'2'!X85</f>
        <v>9.541745134965475E-2</v>
      </c>
      <c r="CV85" s="2">
        <f>('1'!$I85-$M85)*'2'!Y85</f>
        <v>8.0246913580246909E-2</v>
      </c>
      <c r="CW85" s="2">
        <f>('1'!$I85-$M85)</f>
        <v>0.33333333333333331</v>
      </c>
      <c r="CX85" s="2">
        <f>('1'!$J85-$N85)*'2'!V85</f>
        <v>-0.20576131687242799</v>
      </c>
      <c r="CY85" s="2">
        <f>('1'!$J85-$N85)*'2'!W85</f>
        <v>-9.8765432098765413E-2</v>
      </c>
      <c r="CZ85" s="2">
        <f>('1'!$J85-$N85)*'2'!X85</f>
        <v>-0.19083490269930953</v>
      </c>
      <c r="DA85" s="2">
        <f>('1'!$J85-$N85)*'2'!Y85</f>
        <v>-0.16049382716049385</v>
      </c>
      <c r="DB85" s="2">
        <f>('1'!$J85-$N85)</f>
        <v>-0.66666666666666674</v>
      </c>
      <c r="DC85" s="2">
        <f>('1'!$K85-$O85)*'2'!V85</f>
        <v>0.10288065843621398</v>
      </c>
      <c r="DD85" s="2">
        <f>('1'!$K85-$O85)*'2'!W85</f>
        <v>4.9382716049382699E-2</v>
      </c>
      <c r="DE85" s="2">
        <f>('1'!$K85-$O85)*'2'!X85</f>
        <v>9.541745134965475E-2</v>
      </c>
      <c r="DF85" s="2">
        <f>('1'!$K85-$O85)*'2'!Y85</f>
        <v>8.0246913580246909E-2</v>
      </c>
      <c r="DG85" s="2">
        <f>('1'!$K85-$O85)</f>
        <v>0.33333333333333331</v>
      </c>
    </row>
    <row r="86" spans="2:111" ht="15" x14ac:dyDescent="0.25">
      <c r="B86" s="1">
        <v>6.7</v>
      </c>
      <c r="C86" s="1">
        <v>3</v>
      </c>
      <c r="D86" s="1">
        <v>5</v>
      </c>
      <c r="E86" s="1">
        <v>1.7</v>
      </c>
      <c r="F86" s="1" t="s">
        <v>6</v>
      </c>
      <c r="I86" s="2">
        <f>(B86-B$5)/(B$4-B$5)</f>
        <v>0.66666666666666663</v>
      </c>
      <c r="J86" s="2">
        <f>(C86-C$5)/(C$4-C$5)</f>
        <v>0.41666666666666663</v>
      </c>
      <c r="K86" s="2">
        <f>(D86-D$5)/(D$4-D$5)</f>
        <v>0.67796610169491522</v>
      </c>
      <c r="L86" s="2">
        <f>(E86-E$5)/(E$4-E$5)</f>
        <v>0.66666666666666663</v>
      </c>
      <c r="M86" s="3">
        <f>IF($F86=M$8,1,0)</f>
        <v>0</v>
      </c>
      <c r="N86" s="3">
        <f>IF($F86=N$8,1,0)</f>
        <v>1</v>
      </c>
      <c r="O86" s="3">
        <f>IF($F86=O$8,1,0)</f>
        <v>0</v>
      </c>
      <c r="CD86" s="2">
        <f ca="1">CD$2*$I86+CD$3*$J86+CD$4*$K86+CD$5*$L86+CD$6</f>
        <v>0.19960192275935734</v>
      </c>
      <c r="CE86" s="2">
        <f ca="1">CE$2*$I86+CE$3*$J86+CE$4*$K86+CE$5*$L86+CE$6</f>
        <v>2.7083328100256668E-2</v>
      </c>
      <c r="CF86" s="2">
        <f ca="1">CF$2*$I86+CF$3*$J86+CF$4*$K86+CF$5*$L86+CF$6</f>
        <v>0.90680843348459672</v>
      </c>
      <c r="CG86" s="2">
        <f t="shared" ca="1" si="12"/>
        <v>1.2209166422827411</v>
      </c>
      <c r="CH86" s="2">
        <f t="shared" ca="1" si="9"/>
        <v>1.0274534149376588</v>
      </c>
      <c r="CI86" s="2">
        <f t="shared" ca="1" si="10"/>
        <v>2.4764062920987442</v>
      </c>
      <c r="CJ86" s="2">
        <f t="shared" ca="1" si="13"/>
        <v>4.7247763493191446</v>
      </c>
      <c r="CK86" s="2">
        <f ca="1">CG86/'1'!$H86</f>
        <v>0.28886177973863253</v>
      </c>
      <c r="CL86" s="2">
        <f t="shared" ca="1" si="14"/>
        <v>0.21746075136143073</v>
      </c>
      <c r="CM86" s="2">
        <f t="shared" ca="1" si="15"/>
        <v>0.52413196075526458</v>
      </c>
      <c r="CN86" s="2">
        <f ca="1">-$M86*LOG(CK86)</f>
        <v>0</v>
      </c>
      <c r="CO86" s="2">
        <f ca="1">-$N86*LOG(CL86)</f>
        <v>0.6626191157451834</v>
      </c>
      <c r="CP86" s="2">
        <f ca="1">-$O86*LOG(CM86)</f>
        <v>0</v>
      </c>
      <c r="CQ86" s="2">
        <f t="shared" ca="1" si="11"/>
        <v>0.6626191157451834</v>
      </c>
      <c r="CR86" s="2"/>
      <c r="CS86" s="2">
        <f ca="1">(CK86-'2'!Z86)*'2'!V86</f>
        <v>0.28311953967564418</v>
      </c>
      <c r="CT86" s="2">
        <f>('1'!$I86-$M86)*'2'!W86</f>
        <v>6.1728395061728392E-2</v>
      </c>
      <c r="CU86" s="2">
        <f>('1'!$I86-$M86)*'2'!X86</f>
        <v>0.10043942247332076</v>
      </c>
      <c r="CV86" s="2">
        <f>('1'!$I86-$M86)*'2'!Y86</f>
        <v>9.876543209876544E-2</v>
      </c>
      <c r="CW86" s="2">
        <f>('1'!$I86-$M86)</f>
        <v>0.33333333333333337</v>
      </c>
      <c r="CX86" s="2">
        <f>('1'!$J86-$N86)*'2'!V86</f>
        <v>-0.19753086419753085</v>
      </c>
      <c r="CY86" s="2">
        <f>('1'!$J86-$N86)*'2'!W86</f>
        <v>-0.12345679012345676</v>
      </c>
      <c r="CZ86" s="2">
        <f>('1'!$J86-$N86)*'2'!X86</f>
        <v>-0.20087884494664149</v>
      </c>
      <c r="DA86" s="2">
        <f>('1'!$J86-$N86)*'2'!Y86</f>
        <v>-0.19753086419753085</v>
      </c>
      <c r="DB86" s="2">
        <f>('1'!$J86-$N86)</f>
        <v>-0.66666666666666663</v>
      </c>
      <c r="DC86" s="2">
        <f>('1'!$K86-$O86)*'2'!V86</f>
        <v>9.876543209876544E-2</v>
      </c>
      <c r="DD86" s="2">
        <f>('1'!$K86-$O86)*'2'!W86</f>
        <v>6.1728395061728392E-2</v>
      </c>
      <c r="DE86" s="2">
        <f>('1'!$K86-$O86)*'2'!X86</f>
        <v>0.10043942247332076</v>
      </c>
      <c r="DF86" s="2">
        <f>('1'!$K86-$O86)*'2'!Y86</f>
        <v>9.876543209876544E-2</v>
      </c>
      <c r="DG86" s="2">
        <f>('1'!$K86-$O86)</f>
        <v>0.33333333333333337</v>
      </c>
    </row>
    <row r="87" spans="2:111" ht="15" x14ac:dyDescent="0.25">
      <c r="B87" s="1">
        <v>6</v>
      </c>
      <c r="C87" s="1">
        <v>2.9</v>
      </c>
      <c r="D87" s="1">
        <v>4.5</v>
      </c>
      <c r="E87" s="1">
        <v>1.5</v>
      </c>
      <c r="F87" s="1" t="s">
        <v>6</v>
      </c>
      <c r="I87" s="2">
        <f>(B87-B$5)/(B$4-B$5)</f>
        <v>0.47222222222222221</v>
      </c>
      <c r="J87" s="2">
        <f>(C87-C$5)/(C$4-C$5)</f>
        <v>0.37499999999999989</v>
      </c>
      <c r="K87" s="2">
        <f>(D87-D$5)/(D$4-D$5)</f>
        <v>0.59322033898305082</v>
      </c>
      <c r="L87" s="2">
        <f>(E87-E$5)/(E$4-E$5)</f>
        <v>0.58333333333333337</v>
      </c>
      <c r="M87" s="3">
        <f>IF($F87=M$8,1,0)</f>
        <v>0</v>
      </c>
      <c r="N87" s="3">
        <f>IF($F87=N$8,1,0)</f>
        <v>1</v>
      </c>
      <c r="O87" s="3">
        <f>IF($F87=O$8,1,0)</f>
        <v>0</v>
      </c>
      <c r="CD87" s="2">
        <f ca="1">CD$2*$I87+CD$3*$J87+CD$4*$K87+CD$5*$L87+CD$6</f>
        <v>0.17467281750711167</v>
      </c>
      <c r="CE87" s="2">
        <f ca="1">CE$2*$I87+CE$3*$J87+CE$4*$K87+CE$5*$L87+CE$6</f>
        <v>3.9168333639441028E-2</v>
      </c>
      <c r="CF87" s="2">
        <f ca="1">CF$2*$I87+CF$3*$J87+CF$4*$K87+CF$5*$L87+CF$6</f>
        <v>0.77250510837482256</v>
      </c>
      <c r="CG87" s="2">
        <f t="shared" ca="1" si="12"/>
        <v>1.1908565254591008</v>
      </c>
      <c r="CH87" s="2">
        <f t="shared" ca="1" si="9"/>
        <v>1.0399455267322602</v>
      </c>
      <c r="CI87" s="2">
        <f t="shared" ca="1" si="10"/>
        <v>2.1651834848573781</v>
      </c>
      <c r="CJ87" s="2">
        <f t="shared" ca="1" si="13"/>
        <v>4.3959855370487393</v>
      </c>
      <c r="CK87" s="2">
        <f ca="1">CG87/'1'!$H87</f>
        <v>0.29337105829750815</v>
      </c>
      <c r="CL87" s="2">
        <f t="shared" ca="1" si="14"/>
        <v>0.23656709467484538</v>
      </c>
      <c r="CM87" s="2">
        <f t="shared" ca="1" si="15"/>
        <v>0.4925365351204003</v>
      </c>
      <c r="CN87" s="2">
        <f ca="1">-$M87*LOG(CK87)</f>
        <v>0</v>
      </c>
      <c r="CO87" s="2">
        <f ca="1">-$N87*LOG(CL87)</f>
        <v>0.62604566374431048</v>
      </c>
      <c r="CP87" s="2">
        <f ca="1">-$O87*LOG(CM87)</f>
        <v>0</v>
      </c>
      <c r="CQ87" s="2">
        <f t="shared" ca="1" si="11"/>
        <v>0.62604566374431048</v>
      </c>
      <c r="CR87" s="2"/>
      <c r="CS87" s="2">
        <f ca="1">(CK87-'2'!Z87)*'2'!V87</f>
        <v>0.20148939906655527</v>
      </c>
      <c r="CT87" s="2">
        <f>('1'!$I87-$M87)*'2'!W87</f>
        <v>5.5555555555555552E-2</v>
      </c>
      <c r="CU87" s="2">
        <f>('1'!$I87-$M87)*'2'!X87</f>
        <v>8.7884494664155682E-2</v>
      </c>
      <c r="CV87" s="2">
        <f>('1'!$I87-$M87)*'2'!Y87</f>
        <v>8.6419753086419776E-2</v>
      </c>
      <c r="CW87" s="2">
        <f>('1'!$I87-$M87)</f>
        <v>0.33333333333333331</v>
      </c>
      <c r="CX87" s="2">
        <f>('1'!$J87-$N87)*'2'!V87</f>
        <v>-0.13991769547325109</v>
      </c>
      <c r="CY87" s="2">
        <f>('1'!$J87-$N87)*'2'!W87</f>
        <v>-0.11111111111111112</v>
      </c>
      <c r="CZ87" s="2">
        <f>('1'!$J87-$N87)*'2'!X87</f>
        <v>-0.17576898932831139</v>
      </c>
      <c r="DA87" s="2">
        <f>('1'!$J87-$N87)*'2'!Y87</f>
        <v>-0.17283950617283958</v>
      </c>
      <c r="DB87" s="2">
        <f>('1'!$J87-$N87)</f>
        <v>-0.66666666666666674</v>
      </c>
      <c r="DC87" s="2">
        <f>('1'!$K87-$O87)*'2'!V87</f>
        <v>6.9958847736625529E-2</v>
      </c>
      <c r="DD87" s="2">
        <f>('1'!$K87-$O87)*'2'!W87</f>
        <v>5.5555555555555552E-2</v>
      </c>
      <c r="DE87" s="2">
        <f>('1'!$K87-$O87)*'2'!X87</f>
        <v>8.7884494664155682E-2</v>
      </c>
      <c r="DF87" s="2">
        <f>('1'!$K87-$O87)*'2'!Y87</f>
        <v>8.6419753086419776E-2</v>
      </c>
      <c r="DG87" s="2">
        <f>('1'!$K87-$O87)</f>
        <v>0.33333333333333331</v>
      </c>
    </row>
    <row r="88" spans="2:111" ht="15" x14ac:dyDescent="0.25">
      <c r="B88" s="1">
        <v>5.7</v>
      </c>
      <c r="C88" s="1">
        <v>2.6</v>
      </c>
      <c r="D88" s="1">
        <v>3.5</v>
      </c>
      <c r="E88" s="1">
        <v>1</v>
      </c>
      <c r="F88" s="1" t="s">
        <v>6</v>
      </c>
      <c r="I88" s="2">
        <f>(B88-B$5)/(B$4-B$5)</f>
        <v>0.38888888888888895</v>
      </c>
      <c r="J88" s="2">
        <f>(C88-C$5)/(C$4-C$5)</f>
        <v>0.25</v>
      </c>
      <c r="K88" s="2">
        <f>(D88-D$5)/(D$4-D$5)</f>
        <v>0.42372881355932202</v>
      </c>
      <c r="L88" s="2">
        <f>(E88-E$5)/(E$4-E$5)</f>
        <v>0.375</v>
      </c>
      <c r="M88" s="3">
        <f>IF($F88=M$8,1,0)</f>
        <v>0</v>
      </c>
      <c r="N88" s="3">
        <f>IF($F88=N$8,1,0)</f>
        <v>1</v>
      </c>
      <c r="O88" s="3">
        <f>IF($F88=O$8,1,0)</f>
        <v>0</v>
      </c>
      <c r="CD88" s="2">
        <f ca="1">CD$2*$I88+CD$3*$J88+CD$4*$K88+CD$5*$L88+CD$6</f>
        <v>0.15910822114340242</v>
      </c>
      <c r="CE88" s="2">
        <f ca="1">CE$2*$I88+CE$3*$J88+CE$4*$K88+CE$5*$L88+CE$6</f>
        <v>5.7797086457426122E-2</v>
      </c>
      <c r="CF88" s="2">
        <f ca="1">CF$2*$I88+CF$3*$J88+CF$4*$K88+CF$5*$L88+CF$6</f>
        <v>0.57688181654435156</v>
      </c>
      <c r="CG88" s="2">
        <f t="shared" ca="1" si="12"/>
        <v>1.1724648252991123</v>
      </c>
      <c r="CH88" s="2">
        <f t="shared" ca="1" si="9"/>
        <v>1.0594999870012165</v>
      </c>
      <c r="CI88" s="2">
        <f t="shared" ca="1" si="10"/>
        <v>1.7804779091328555</v>
      </c>
      <c r="CJ88" s="2">
        <f t="shared" ca="1" si="13"/>
        <v>4.0124427214331844</v>
      </c>
      <c r="CK88" s="2">
        <f ca="1">CG88/'1'!$H88</f>
        <v>0.30627685297927076</v>
      </c>
      <c r="CL88" s="2">
        <f t="shared" ca="1" si="14"/>
        <v>0.26405361037098596</v>
      </c>
      <c r="CM88" s="2">
        <f t="shared" ca="1" si="15"/>
        <v>0.44373914663556757</v>
      </c>
      <c r="CN88" s="2">
        <f ca="1">-$M88*LOG(CK88)</f>
        <v>0</v>
      </c>
      <c r="CO88" s="2">
        <f ca="1">-$N88*LOG(CL88)</f>
        <v>0.57830789008240746</v>
      </c>
      <c r="CP88" s="2">
        <f ca="1">-$O88*LOG(CM88)</f>
        <v>0</v>
      </c>
      <c r="CQ88" s="2">
        <f t="shared" ca="1" si="11"/>
        <v>0.57830789008240746</v>
      </c>
      <c r="CR88" s="2"/>
      <c r="CS88" s="2">
        <f ca="1">(CK88-'2'!Z88)*'2'!V88</f>
        <v>0.16816307746966827</v>
      </c>
      <c r="CT88" s="2">
        <f>('1'!$I88-$M88)*'2'!W88</f>
        <v>3.7037037037037042E-2</v>
      </c>
      <c r="CU88" s="2">
        <f>('1'!$I88-$M88)*'2'!X88</f>
        <v>6.2774639045825489E-2</v>
      </c>
      <c r="CV88" s="2">
        <f>('1'!$I88-$M88)*'2'!Y88</f>
        <v>5.5555555555555559E-2</v>
      </c>
      <c r="CW88" s="2">
        <f>('1'!$I88-$M88)</f>
        <v>0.33333333333333331</v>
      </c>
      <c r="CX88" s="2">
        <f>('1'!$J88-$N88)*'2'!V88</f>
        <v>-0.11522633744855973</v>
      </c>
      <c r="CY88" s="2">
        <f>('1'!$J88-$N88)*'2'!W88</f>
        <v>-7.4074074074074098E-2</v>
      </c>
      <c r="CZ88" s="2">
        <f>('1'!$J88-$N88)*'2'!X88</f>
        <v>-0.12554927809165101</v>
      </c>
      <c r="DA88" s="2">
        <f>('1'!$J88-$N88)*'2'!Y88</f>
        <v>-0.11111111111111113</v>
      </c>
      <c r="DB88" s="2">
        <f>('1'!$J88-$N88)</f>
        <v>-0.66666666666666674</v>
      </c>
      <c r="DC88" s="2">
        <f>('1'!$K88-$O88)*'2'!V88</f>
        <v>5.7613168724279858E-2</v>
      </c>
      <c r="DD88" s="2">
        <f>('1'!$K88-$O88)*'2'!W88</f>
        <v>3.7037037037037042E-2</v>
      </c>
      <c r="DE88" s="2">
        <f>('1'!$K88-$O88)*'2'!X88</f>
        <v>6.2774639045825489E-2</v>
      </c>
      <c r="DF88" s="2">
        <f>('1'!$K88-$O88)*'2'!Y88</f>
        <v>5.5555555555555559E-2</v>
      </c>
      <c r="DG88" s="2">
        <f>('1'!$K88-$O88)</f>
        <v>0.33333333333333331</v>
      </c>
    </row>
    <row r="89" spans="2:111" ht="15" x14ac:dyDescent="0.25">
      <c r="B89" s="1">
        <v>5.5</v>
      </c>
      <c r="C89" s="1">
        <v>2.4</v>
      </c>
      <c r="D89" s="1">
        <v>3.8</v>
      </c>
      <c r="E89" s="1">
        <v>1.1000000000000001</v>
      </c>
      <c r="F89" s="1" t="s">
        <v>6</v>
      </c>
      <c r="I89" s="2">
        <f>(B89-B$5)/(B$4-B$5)</f>
        <v>0.33333333333333331</v>
      </c>
      <c r="J89" s="2">
        <f>(C89-C$5)/(C$4-C$5)</f>
        <v>0.1666666666666666</v>
      </c>
      <c r="K89" s="2">
        <f>(D89-D$5)/(D$4-D$5)</f>
        <v>0.47457627118644063</v>
      </c>
      <c r="L89" s="2">
        <f>(E89-E$5)/(E$4-E$5)</f>
        <v>0.41666666666666669</v>
      </c>
      <c r="M89" s="3">
        <f>IF($F89=M$8,1,0)</f>
        <v>0</v>
      </c>
      <c r="N89" s="3">
        <f>IF($F89=N$8,1,0)</f>
        <v>1</v>
      </c>
      <c r="O89" s="3">
        <f>IF($F89=O$8,1,0)</f>
        <v>0</v>
      </c>
      <c r="CD89" s="2">
        <f ca="1">CD$2*$I89+CD$3*$J89+CD$4*$K89+CD$5*$L89+CD$6</f>
        <v>0.12335265639097272</v>
      </c>
      <c r="CE89" s="2">
        <f ca="1">CE$2*$I89+CE$3*$J89+CE$4*$K89+CE$5*$L89+CE$6</f>
        <v>6.6272084190598685E-2</v>
      </c>
      <c r="CF89" s="2">
        <f ca="1">CF$2*$I89+CF$3*$J89+CF$4*$K89+CF$5*$L89+CF$6</f>
        <v>0.58601798132360527</v>
      </c>
      <c r="CG89" s="2">
        <f t="shared" ca="1" si="12"/>
        <v>1.1312833048963409</v>
      </c>
      <c r="CH89" s="2">
        <f t="shared" ca="1" si="9"/>
        <v>1.0685174043116044</v>
      </c>
      <c r="CI89" s="2">
        <f t="shared" ca="1" si="10"/>
        <v>1.7968191833169889</v>
      </c>
      <c r="CJ89" s="2">
        <f t="shared" ca="1" si="13"/>
        <v>3.9966198925249343</v>
      </c>
      <c r="CK89" s="2">
        <f ca="1">CG89/'1'!$H89</f>
        <v>0.29689286592013986</v>
      </c>
      <c r="CL89" s="2">
        <f t="shared" ca="1" si="14"/>
        <v>0.2673552734674875</v>
      </c>
      <c r="CM89" s="2">
        <f t="shared" ca="1" si="15"/>
        <v>0.44958470698643721</v>
      </c>
      <c r="CN89" s="2">
        <f ca="1">-$M89*LOG(CK89)</f>
        <v>0</v>
      </c>
      <c r="CO89" s="2">
        <f ca="1">-$N89*LOG(CL89)</f>
        <v>0.5729112452077656</v>
      </c>
      <c r="CP89" s="2">
        <f ca="1">-$O89*LOG(CM89)</f>
        <v>0</v>
      </c>
      <c r="CQ89" s="2">
        <f t="shared" ca="1" si="11"/>
        <v>0.5729112452077656</v>
      </c>
      <c r="CR89" s="2"/>
      <c r="CS89" s="2">
        <f ca="1">(CK89-'2'!Z89)*'2'!V89</f>
        <v>0.14274956038323058</v>
      </c>
      <c r="CT89" s="2">
        <f>('1'!$I89-$M89)*'2'!W89</f>
        <v>2.469135802469135E-2</v>
      </c>
      <c r="CU89" s="2">
        <f>('1'!$I89-$M89)*'2'!X89</f>
        <v>7.0307595731324543E-2</v>
      </c>
      <c r="CV89" s="2">
        <f>('1'!$I89-$M89)*'2'!Y89</f>
        <v>6.1728395061728399E-2</v>
      </c>
      <c r="CW89" s="2">
        <f>('1'!$I89-$M89)</f>
        <v>0.33333333333333337</v>
      </c>
      <c r="CX89" s="2">
        <f>('1'!$J89-$N89)*'2'!V89</f>
        <v>-9.8765432098765427E-2</v>
      </c>
      <c r="CY89" s="2">
        <f>('1'!$J89-$N89)*'2'!W89</f>
        <v>-4.9382716049382692E-2</v>
      </c>
      <c r="CZ89" s="2">
        <f>('1'!$J89-$N89)*'2'!X89</f>
        <v>-0.14061519146264906</v>
      </c>
      <c r="DA89" s="2">
        <f>('1'!$J89-$N89)*'2'!Y89</f>
        <v>-0.12345679012345678</v>
      </c>
      <c r="DB89" s="2">
        <f>('1'!$J89-$N89)</f>
        <v>-0.66666666666666663</v>
      </c>
      <c r="DC89" s="2">
        <f>('1'!$K89-$O89)*'2'!V89</f>
        <v>4.938271604938272E-2</v>
      </c>
      <c r="DD89" s="2">
        <f>('1'!$K89-$O89)*'2'!W89</f>
        <v>2.469135802469135E-2</v>
      </c>
      <c r="DE89" s="2">
        <f>('1'!$K89-$O89)*'2'!X89</f>
        <v>7.0307595731324543E-2</v>
      </c>
      <c r="DF89" s="2">
        <f>('1'!$K89-$O89)*'2'!Y89</f>
        <v>6.1728395061728399E-2</v>
      </c>
      <c r="DG89" s="2">
        <f>('1'!$K89-$O89)</f>
        <v>0.33333333333333337</v>
      </c>
    </row>
    <row r="90" spans="2:111" ht="15" x14ac:dyDescent="0.25">
      <c r="B90" s="1">
        <v>5.5</v>
      </c>
      <c r="C90" s="1">
        <v>2.4</v>
      </c>
      <c r="D90" s="1">
        <v>3.7</v>
      </c>
      <c r="E90" s="1">
        <v>1</v>
      </c>
      <c r="F90" s="1" t="s">
        <v>6</v>
      </c>
      <c r="I90" s="2">
        <f>(B90-B$5)/(B$4-B$5)</f>
        <v>0.33333333333333331</v>
      </c>
      <c r="J90" s="2">
        <f>(C90-C$5)/(C$4-C$5)</f>
        <v>0.1666666666666666</v>
      </c>
      <c r="K90" s="2">
        <f>(D90-D$5)/(D$4-D$5)</f>
        <v>0.4576271186440678</v>
      </c>
      <c r="L90" s="2">
        <f>(E90-E$5)/(E$4-E$5)</f>
        <v>0.375</v>
      </c>
      <c r="M90" s="3">
        <f>IF($F90=M$8,1,0)</f>
        <v>0</v>
      </c>
      <c r="N90" s="3">
        <f>IF($F90=N$8,1,0)</f>
        <v>1</v>
      </c>
      <c r="O90" s="3">
        <f>IF($F90=O$8,1,0)</f>
        <v>0</v>
      </c>
      <c r="CD90" s="2">
        <f ca="1">CD$2*$I90+CD$3*$J90+CD$4*$K90+CD$5*$L90+CD$6</f>
        <v>0.12781397438569295</v>
      </c>
      <c r="CE90" s="2">
        <f ca="1">CE$2*$I90+CE$3*$J90+CE$4*$K90+CE$5*$L90+CE$6</f>
        <v>6.748460385092564E-2</v>
      </c>
      <c r="CF90" s="2">
        <f ca="1">CF$2*$I90+CF$3*$J90+CF$4*$K90+CF$5*$L90+CF$6</f>
        <v>0.56204465870192433</v>
      </c>
      <c r="CG90" s="2">
        <f t="shared" ca="1" si="12"/>
        <v>1.1363415943908308</v>
      </c>
      <c r="CH90" s="2">
        <f t="shared" ca="1" si="9"/>
        <v>1.0698137884585375</v>
      </c>
      <c r="CI90" s="2">
        <f t="shared" ca="1" si="10"/>
        <v>1.7542556900097332</v>
      </c>
      <c r="CJ90" s="2">
        <f t="shared" ca="1" si="13"/>
        <v>3.9604110728591015</v>
      </c>
      <c r="CK90" s="2">
        <f ca="1">CG90/'1'!$H90</f>
        <v>0.29997353462116289</v>
      </c>
      <c r="CL90" s="2">
        <f t="shared" ca="1" si="14"/>
        <v>0.27012695621169874</v>
      </c>
      <c r="CM90" s="2">
        <f t="shared" ca="1" si="15"/>
        <v>0.44294788034296156</v>
      </c>
      <c r="CN90" s="2">
        <f ca="1">-$M90*LOG(CK90)</f>
        <v>0</v>
      </c>
      <c r="CO90" s="2">
        <f ca="1">-$N90*LOG(CL90)</f>
        <v>0.56843207501339466</v>
      </c>
      <c r="CP90" s="2">
        <f ca="1">-$O90*LOG(CM90)</f>
        <v>0</v>
      </c>
      <c r="CQ90" s="2">
        <f t="shared" ca="1" si="11"/>
        <v>0.56843207501339466</v>
      </c>
      <c r="CR90" s="2"/>
      <c r="CS90" s="2">
        <f ca="1">(CK90-'2'!Z90)*'2'!V90</f>
        <v>0.14320595574634515</v>
      </c>
      <c r="CT90" s="2">
        <f>('1'!$I90-$M90)*'2'!W90</f>
        <v>2.469135802469135E-2</v>
      </c>
      <c r="CU90" s="2">
        <f>('1'!$I90-$M90)*'2'!X90</f>
        <v>6.7796610169491539E-2</v>
      </c>
      <c r="CV90" s="2">
        <f>('1'!$I90-$M90)*'2'!Y90</f>
        <v>5.5555555555555559E-2</v>
      </c>
      <c r="CW90" s="2">
        <f>('1'!$I90-$M90)</f>
        <v>0.33333333333333331</v>
      </c>
      <c r="CX90" s="2">
        <f>('1'!$J90-$N90)*'2'!V90</f>
        <v>-9.8765432098765454E-2</v>
      </c>
      <c r="CY90" s="2">
        <f>('1'!$J90-$N90)*'2'!W90</f>
        <v>-4.9382716049382706E-2</v>
      </c>
      <c r="CZ90" s="2">
        <f>('1'!$J90-$N90)*'2'!X90</f>
        <v>-0.13559322033898311</v>
      </c>
      <c r="DA90" s="2">
        <f>('1'!$J90-$N90)*'2'!Y90</f>
        <v>-0.11111111111111113</v>
      </c>
      <c r="DB90" s="2">
        <f>('1'!$J90-$N90)</f>
        <v>-0.66666666666666674</v>
      </c>
      <c r="DC90" s="2">
        <f>('1'!$K90-$O90)*'2'!V90</f>
        <v>4.938271604938272E-2</v>
      </c>
      <c r="DD90" s="2">
        <f>('1'!$K90-$O90)*'2'!W90</f>
        <v>2.469135802469135E-2</v>
      </c>
      <c r="DE90" s="2">
        <f>('1'!$K90-$O90)*'2'!X90</f>
        <v>6.7796610169491539E-2</v>
      </c>
      <c r="DF90" s="2">
        <f>('1'!$K90-$O90)*'2'!Y90</f>
        <v>5.5555555555555559E-2</v>
      </c>
      <c r="DG90" s="2">
        <f>('1'!$K90-$O90)</f>
        <v>0.33333333333333331</v>
      </c>
    </row>
    <row r="91" spans="2:111" ht="15" x14ac:dyDescent="0.25">
      <c r="B91" s="1">
        <v>5.8</v>
      </c>
      <c r="C91" s="1">
        <v>2.7</v>
      </c>
      <c r="D91" s="1">
        <v>3.9</v>
      </c>
      <c r="E91" s="1">
        <v>1.2</v>
      </c>
      <c r="F91" s="1" t="s">
        <v>6</v>
      </c>
      <c r="I91" s="2">
        <f>(B91-B$5)/(B$4-B$5)</f>
        <v>0.41666666666666663</v>
      </c>
      <c r="J91" s="2">
        <f>(C91-C$5)/(C$4-C$5)</f>
        <v>0.29166666666666669</v>
      </c>
      <c r="K91" s="2">
        <f>(D91-D$5)/(D$4-D$5)</f>
        <v>0.49152542372881353</v>
      </c>
      <c r="L91" s="2">
        <f>(E91-E$5)/(E$4-E$5)</f>
        <v>0.45833333333333331</v>
      </c>
      <c r="M91" s="3">
        <f>IF($F91=M$8,1,0)</f>
        <v>0</v>
      </c>
      <c r="N91" s="3">
        <f>IF($F91=N$8,1,0)</f>
        <v>1</v>
      </c>
      <c r="O91" s="3">
        <f>IF($F91=O$8,1,0)</f>
        <v>0</v>
      </c>
      <c r="CD91" s="2">
        <f ca="1">CD$2*$I91+CD$3*$J91+CD$4*$K91+CD$5*$L91+CD$6</f>
        <v>0.16243138960809653</v>
      </c>
      <c r="CE91" s="2">
        <f ca="1">CE$2*$I91+CE$3*$J91+CE$4*$K91+CE$5*$L91+CE$6</f>
        <v>5.1265209030234557E-2</v>
      </c>
      <c r="CF91" s="2">
        <f ca="1">CF$2*$I91+CF$3*$J91+CF$4*$K91+CF$5*$L91+CF$6</f>
        <v>0.65230989394333661</v>
      </c>
      <c r="CG91" s="2">
        <f t="shared" ca="1" si="12"/>
        <v>1.1763676046374423</v>
      </c>
      <c r="CH91" s="2">
        <f t="shared" ca="1" si="9"/>
        <v>1.052602015828499</v>
      </c>
      <c r="CI91" s="2">
        <f t="shared" ca="1" si="10"/>
        <v>1.9199706393994942</v>
      </c>
      <c r="CJ91" s="2">
        <f t="shared" ca="1" si="13"/>
        <v>4.1489402598654355</v>
      </c>
      <c r="CK91" s="2">
        <f ca="1">CG91/'1'!$H91</f>
        <v>0.30059239298150242</v>
      </c>
      <c r="CL91" s="2">
        <f t="shared" ca="1" si="14"/>
        <v>0.2537038255312547</v>
      </c>
      <c r="CM91" s="2">
        <f t="shared" ca="1" si="15"/>
        <v>0.4627616979623046</v>
      </c>
      <c r="CN91" s="2">
        <f ca="1">-$M91*LOG(CK91)</f>
        <v>0</v>
      </c>
      <c r="CO91" s="2">
        <f ca="1">-$N91*LOG(CL91)</f>
        <v>0.59567298412005787</v>
      </c>
      <c r="CP91" s="2">
        <f ca="1">-$O91*LOG(CM91)</f>
        <v>0</v>
      </c>
      <c r="CQ91" s="2">
        <f t="shared" ca="1" si="11"/>
        <v>0.59567298412005787</v>
      </c>
      <c r="CR91" s="2"/>
      <c r="CS91" s="2">
        <f ca="1">(CK91-'2'!Z91)*'2'!V91</f>
        <v>0.17912204808299431</v>
      </c>
      <c r="CT91" s="2">
        <f>('1'!$I91-$M91)*'2'!W91</f>
        <v>4.3209876543209888E-2</v>
      </c>
      <c r="CU91" s="2">
        <f>('1'!$I91-$M91)*'2'!X91</f>
        <v>7.2818581293157575E-2</v>
      </c>
      <c r="CV91" s="2">
        <f>('1'!$I91-$M91)*'2'!Y91</f>
        <v>6.7901234567901245E-2</v>
      </c>
      <c r="CW91" s="2">
        <f>('1'!$I91-$M91)</f>
        <v>0.33333333333333331</v>
      </c>
      <c r="CX91" s="2">
        <f>('1'!$J91-$N91)*'2'!V91</f>
        <v>-0.12345679012345681</v>
      </c>
      <c r="CY91" s="2">
        <f>('1'!$J91-$N91)*'2'!W91</f>
        <v>-8.641975308641979E-2</v>
      </c>
      <c r="CZ91" s="2">
        <f>('1'!$J91-$N91)*'2'!X91</f>
        <v>-0.14563716258631518</v>
      </c>
      <c r="DA91" s="2">
        <f>('1'!$J91-$N91)*'2'!Y91</f>
        <v>-0.13580246913580252</v>
      </c>
      <c r="DB91" s="2">
        <f>('1'!$J91-$N91)</f>
        <v>-0.66666666666666674</v>
      </c>
      <c r="DC91" s="2">
        <f>('1'!$K91-$O91)*'2'!V91</f>
        <v>6.1728395061728399E-2</v>
      </c>
      <c r="DD91" s="2">
        <f>('1'!$K91-$O91)*'2'!W91</f>
        <v>4.3209876543209888E-2</v>
      </c>
      <c r="DE91" s="2">
        <f>('1'!$K91-$O91)*'2'!X91</f>
        <v>7.2818581293157575E-2</v>
      </c>
      <c r="DF91" s="2">
        <f>('1'!$K91-$O91)*'2'!Y91</f>
        <v>6.7901234567901245E-2</v>
      </c>
      <c r="DG91" s="2">
        <f>('1'!$K91-$O91)</f>
        <v>0.33333333333333331</v>
      </c>
    </row>
    <row r="92" spans="2:111" ht="15" x14ac:dyDescent="0.25">
      <c r="B92" s="1">
        <v>6</v>
      </c>
      <c r="C92" s="1">
        <v>2.7</v>
      </c>
      <c r="D92" s="1">
        <v>5.0999999999999996</v>
      </c>
      <c r="E92" s="1">
        <v>1.6</v>
      </c>
      <c r="F92" s="1" t="s">
        <v>6</v>
      </c>
      <c r="I92" s="2">
        <f>(B92-B$5)/(B$4-B$5)</f>
        <v>0.47222222222222221</v>
      </c>
      <c r="J92" s="2">
        <f>(C92-C$5)/(C$4-C$5)</f>
        <v>0.29166666666666669</v>
      </c>
      <c r="K92" s="2">
        <f>(D92-D$5)/(D$4-D$5)</f>
        <v>0.69491525423728806</v>
      </c>
      <c r="L92" s="2">
        <f>(E92-E$5)/(E$4-E$5)</f>
        <v>0.625</v>
      </c>
      <c r="M92" s="3">
        <f>IF($F92=M$8,1,0)</f>
        <v>0</v>
      </c>
      <c r="N92" s="3">
        <f>IF($F92=N$8,1,0)</f>
        <v>1</v>
      </c>
      <c r="O92" s="3">
        <f>IF($F92=O$8,1,0)</f>
        <v>0</v>
      </c>
      <c r="CD92" s="2">
        <f ca="1">CD$2*$I92+CD$3*$J92+CD$4*$K92+CD$5*$L92+CD$6</f>
        <v>0.14309583708411464</v>
      </c>
      <c r="CE92" s="2">
        <f ca="1">CE$2*$I92+CE$3*$J92+CE$4*$K92+CE$5*$L92+CE$6</f>
        <v>4.6447329193248954E-2</v>
      </c>
      <c r="CF92" s="2">
        <f ca="1">CF$2*$I92+CF$3*$J92+CF$4*$K92+CF$5*$L92+CF$6</f>
        <v>0.81910000304381447</v>
      </c>
      <c r="CG92" s="2">
        <f t="shared" ca="1" si="12"/>
        <v>1.1538403770645855</v>
      </c>
      <c r="CH92" s="2">
        <f t="shared" ca="1" si="9"/>
        <v>1.0475429026856635</v>
      </c>
      <c r="CI92" s="2">
        <f t="shared" ca="1" si="10"/>
        <v>2.2684573138600204</v>
      </c>
      <c r="CJ92" s="2">
        <f t="shared" ca="1" si="13"/>
        <v>4.4698405936102699</v>
      </c>
      <c r="CK92" s="2">
        <f ca="1">CG92/'1'!$H92</f>
        <v>0.28255081572576035</v>
      </c>
      <c r="CL92" s="2">
        <f t="shared" ca="1" si="14"/>
        <v>0.23435800018979377</v>
      </c>
      <c r="CM92" s="2">
        <f t="shared" ca="1" si="15"/>
        <v>0.50750295594496753</v>
      </c>
      <c r="CN92" s="2">
        <f ca="1">-$M92*LOG(CK92)</f>
        <v>0</v>
      </c>
      <c r="CO92" s="2">
        <f ca="1">-$N92*LOG(CL92)</f>
        <v>0.6301202165454004</v>
      </c>
      <c r="CP92" s="2">
        <f ca="1">-$O92*LOG(CM92)</f>
        <v>0</v>
      </c>
      <c r="CQ92" s="2">
        <f t="shared" ca="1" si="11"/>
        <v>0.6301202165454004</v>
      </c>
      <c r="CR92" s="2"/>
      <c r="CS92" s="2">
        <f ca="1">(CK92-'2'!Z92)*'2'!V92</f>
        <v>0.1992184839589044</v>
      </c>
      <c r="CT92" s="2">
        <f>('1'!$I92-$M92)*'2'!W92</f>
        <v>4.3209876543209881E-2</v>
      </c>
      <c r="CU92" s="2">
        <f>('1'!$I92-$M92)*'2'!X92</f>
        <v>0.10295040803515379</v>
      </c>
      <c r="CV92" s="2">
        <f>('1'!$I92-$M92)*'2'!Y92</f>
        <v>9.2592592592592587E-2</v>
      </c>
      <c r="CW92" s="2">
        <f>('1'!$I92-$M92)</f>
        <v>0.33333333333333337</v>
      </c>
      <c r="CX92" s="2">
        <f>('1'!$J92-$N92)*'2'!V92</f>
        <v>-0.139917695473251</v>
      </c>
      <c r="CY92" s="2">
        <f>('1'!$J92-$N92)*'2'!W92</f>
        <v>-8.6419753086419748E-2</v>
      </c>
      <c r="CZ92" s="2">
        <f>('1'!$J92-$N92)*'2'!X92</f>
        <v>-0.20590081607030755</v>
      </c>
      <c r="DA92" s="2">
        <f>('1'!$J92-$N92)*'2'!Y92</f>
        <v>-0.18518518518518515</v>
      </c>
      <c r="DB92" s="2">
        <f>('1'!$J92-$N92)</f>
        <v>-0.66666666666666663</v>
      </c>
      <c r="DC92" s="2">
        <f>('1'!$K92-$O92)*'2'!V92</f>
        <v>6.9958847736625515E-2</v>
      </c>
      <c r="DD92" s="2">
        <f>('1'!$K92-$O92)*'2'!W92</f>
        <v>4.3209876543209881E-2</v>
      </c>
      <c r="DE92" s="2">
        <f>('1'!$K92-$O92)*'2'!X92</f>
        <v>0.10295040803515379</v>
      </c>
      <c r="DF92" s="2">
        <f>('1'!$K92-$O92)*'2'!Y92</f>
        <v>9.2592592592592587E-2</v>
      </c>
      <c r="DG92" s="2">
        <f>('1'!$K92-$O92)</f>
        <v>0.33333333333333337</v>
      </c>
    </row>
    <row r="93" spans="2:111" ht="15" x14ac:dyDescent="0.25">
      <c r="B93" s="1">
        <v>5.4</v>
      </c>
      <c r="C93" s="1">
        <v>3</v>
      </c>
      <c r="D93" s="1">
        <v>4.5</v>
      </c>
      <c r="E93" s="1">
        <v>1.5</v>
      </c>
      <c r="F93" s="1" t="s">
        <v>6</v>
      </c>
      <c r="I93" s="2">
        <f>(B93-B$5)/(B$4-B$5)</f>
        <v>0.30555555555555564</v>
      </c>
      <c r="J93" s="2">
        <f>(C93-C$5)/(C$4-C$5)</f>
        <v>0.41666666666666663</v>
      </c>
      <c r="K93" s="2">
        <f>(D93-D$5)/(D$4-D$5)</f>
        <v>0.59322033898305082</v>
      </c>
      <c r="L93" s="2">
        <f>(E93-E$5)/(E$4-E$5)</f>
        <v>0.58333333333333337</v>
      </c>
      <c r="M93" s="3">
        <f>IF($F93=M$8,1,0)</f>
        <v>0</v>
      </c>
      <c r="N93" s="3">
        <f>IF($F93=N$8,1,0)</f>
        <v>1</v>
      </c>
      <c r="O93" s="3">
        <f>IF($F93=O$8,1,0)</f>
        <v>0</v>
      </c>
      <c r="CD93" s="2">
        <f ca="1">CD$2*$I93+CD$3*$J93+CD$4*$K93+CD$5*$L93+CD$6</f>
        <v>0.16265650652152497</v>
      </c>
      <c r="CE93" s="2">
        <f ca="1">CE$2*$I93+CE$3*$J93+CE$4*$K93+CE$5*$L93+CE$6</f>
        <v>4.1335444832947141E-2</v>
      </c>
      <c r="CF93" s="2">
        <f ca="1">CF$2*$I93+CF$3*$J93+CF$4*$K93+CF$5*$L93+CF$6</f>
        <v>0.72572573674718899</v>
      </c>
      <c r="CG93" s="2">
        <f t="shared" ca="1" si="12"/>
        <v>1.1766324546916505</v>
      </c>
      <c r="CH93" s="2">
        <f t="shared" ca="1" si="9"/>
        <v>1.0422016480738197</v>
      </c>
      <c r="CI93" s="2">
        <f t="shared" ca="1" si="10"/>
        <v>2.0662300950709191</v>
      </c>
      <c r="CJ93" s="2">
        <f t="shared" ca="1" si="13"/>
        <v>4.2850641978363893</v>
      </c>
      <c r="CK93" s="2">
        <f ca="1">CG93/'1'!$H93</f>
        <v>0.29351299297890937</v>
      </c>
      <c r="CL93" s="2">
        <f t="shared" ca="1" si="14"/>
        <v>0.24321727749144276</v>
      </c>
      <c r="CM93" s="2">
        <f t="shared" ca="1" si="15"/>
        <v>0.48219349808439232</v>
      </c>
      <c r="CN93" s="2">
        <f ca="1">-$M93*LOG(CK93)</f>
        <v>0</v>
      </c>
      <c r="CO93" s="2">
        <f ca="1">-$N93*LOG(CL93)</f>
        <v>0.6140055772090327</v>
      </c>
      <c r="CP93" s="2">
        <f ca="1">-$O93*LOG(CM93)</f>
        <v>0</v>
      </c>
      <c r="CQ93" s="2">
        <f t="shared" ca="1" si="11"/>
        <v>0.6140055772090327</v>
      </c>
      <c r="CR93" s="2"/>
      <c r="CS93" s="2">
        <f ca="1">(CK93-'2'!Z93)*'2'!V93</f>
        <v>0.13039476859384375</v>
      </c>
      <c r="CT93" s="2">
        <f>('1'!$I93-$M93)*'2'!W93</f>
        <v>6.1728395061728399E-2</v>
      </c>
      <c r="CU93" s="2">
        <f>('1'!$I93-$M93)*'2'!X93</f>
        <v>8.7884494664155682E-2</v>
      </c>
      <c r="CV93" s="2">
        <f>('1'!$I93-$M93)*'2'!Y93</f>
        <v>8.6419753086419776E-2</v>
      </c>
      <c r="CW93" s="2">
        <f>('1'!$I93-$M93)</f>
        <v>0.33333333333333331</v>
      </c>
      <c r="CX93" s="2">
        <f>('1'!$J93-$N93)*'2'!V93</f>
        <v>-9.0534979423868372E-2</v>
      </c>
      <c r="CY93" s="2">
        <f>('1'!$J93-$N93)*'2'!W93</f>
        <v>-0.12345679012345681</v>
      </c>
      <c r="CZ93" s="2">
        <f>('1'!$J93-$N93)*'2'!X93</f>
        <v>-0.17576898932831139</v>
      </c>
      <c r="DA93" s="2">
        <f>('1'!$J93-$N93)*'2'!Y93</f>
        <v>-0.17283950617283958</v>
      </c>
      <c r="DB93" s="2">
        <f>('1'!$J93-$N93)</f>
        <v>-0.66666666666666674</v>
      </c>
      <c r="DC93" s="2">
        <f>('1'!$K93-$O93)*'2'!V93</f>
        <v>4.5267489711934179E-2</v>
      </c>
      <c r="DD93" s="2">
        <f>('1'!$K93-$O93)*'2'!W93</f>
        <v>6.1728395061728399E-2</v>
      </c>
      <c r="DE93" s="2">
        <f>('1'!$K93-$O93)*'2'!X93</f>
        <v>8.7884494664155682E-2</v>
      </c>
      <c r="DF93" s="2">
        <f>('1'!$K93-$O93)*'2'!Y93</f>
        <v>8.6419753086419776E-2</v>
      </c>
      <c r="DG93" s="2">
        <f>('1'!$K93-$O93)</f>
        <v>0.33333333333333331</v>
      </c>
    </row>
    <row r="94" spans="2:111" ht="15" x14ac:dyDescent="0.25">
      <c r="B94" s="1">
        <v>6</v>
      </c>
      <c r="C94" s="1">
        <v>3.4</v>
      </c>
      <c r="D94" s="1">
        <v>4.5</v>
      </c>
      <c r="E94" s="1">
        <v>1.6</v>
      </c>
      <c r="F94" s="1" t="s">
        <v>6</v>
      </c>
      <c r="I94" s="2">
        <f>(B94-B$5)/(B$4-B$5)</f>
        <v>0.47222222222222221</v>
      </c>
      <c r="J94" s="2">
        <f>(C94-C$5)/(C$4-C$5)</f>
        <v>0.58333333333333326</v>
      </c>
      <c r="K94" s="2">
        <f>(D94-D$5)/(D$4-D$5)</f>
        <v>0.59322033898305082</v>
      </c>
      <c r="L94" s="2">
        <f>(E94-E$5)/(E$4-E$5)</f>
        <v>0.625</v>
      </c>
      <c r="M94" s="3">
        <f>IF($F94=M$8,1,0)</f>
        <v>0</v>
      </c>
      <c r="N94" s="3">
        <f>IF($F94=N$8,1,0)</f>
        <v>1</v>
      </c>
      <c r="O94" s="3">
        <f>IF($F94=O$8,1,0)</f>
        <v>0</v>
      </c>
      <c r="CD94" s="2">
        <f ca="1">CD$2*$I94+CD$3*$J94+CD$4*$K94+CD$5*$L94+CD$6</f>
        <v>0.22496226637165617</v>
      </c>
      <c r="CE94" s="2">
        <f ca="1">CE$2*$I94+CE$3*$J94+CE$4*$K94+CE$5*$L94+CE$6</f>
        <v>1.9551888206256543E-2</v>
      </c>
      <c r="CF94" s="2">
        <f ca="1">CF$2*$I94+CF$3*$J94+CF$4*$K94+CF$5*$L94+CF$6</f>
        <v>0.81683210494346248</v>
      </c>
      <c r="CG94" s="2">
        <f t="shared" ca="1" si="12"/>
        <v>1.2522754624034591</v>
      </c>
      <c r="CH94" s="2">
        <f t="shared" ca="1" si="9"/>
        <v>1.0197442781893451</v>
      </c>
      <c r="CI94" s="2">
        <f t="shared" ca="1" si="10"/>
        <v>2.2633185131679103</v>
      </c>
      <c r="CJ94" s="2">
        <f t="shared" ca="1" si="13"/>
        <v>4.535338253760715</v>
      </c>
      <c r="CK94" s="2">
        <f ca="1">CG94/'1'!$H94</f>
        <v>0.30088486017487726</v>
      </c>
      <c r="CL94" s="2">
        <f t="shared" ca="1" si="14"/>
        <v>0.22484415078495421</v>
      </c>
      <c r="CM94" s="2">
        <f t="shared" ca="1" si="15"/>
        <v>0.49904073004723748</v>
      </c>
      <c r="CN94" s="2">
        <f ca="1">-$M94*LOG(CK94)</f>
        <v>0</v>
      </c>
      <c r="CO94" s="2">
        <f ca="1">-$N94*LOG(CL94)</f>
        <v>0.64811840591618464</v>
      </c>
      <c r="CP94" s="2">
        <f ca="1">-$O94*LOG(CM94)</f>
        <v>0</v>
      </c>
      <c r="CQ94" s="2">
        <f t="shared" ca="1" si="11"/>
        <v>0.64811840591618464</v>
      </c>
      <c r="CR94" s="2"/>
      <c r="CS94" s="2">
        <f ca="1">(CK94-'2'!Z94)*'2'!V94</f>
        <v>0.20306636983094137</v>
      </c>
      <c r="CT94" s="2">
        <f>('1'!$I94-$M94)*'2'!W94</f>
        <v>8.6419753086419762E-2</v>
      </c>
      <c r="CU94" s="2">
        <f>('1'!$I94-$M94)*'2'!X94</f>
        <v>8.7884494664155682E-2</v>
      </c>
      <c r="CV94" s="2">
        <f>('1'!$I94-$M94)*'2'!Y94</f>
        <v>9.2592592592592615E-2</v>
      </c>
      <c r="CW94" s="2">
        <f>('1'!$I94-$M94)</f>
        <v>0.33333333333333331</v>
      </c>
      <c r="CX94" s="2">
        <f>('1'!$J94-$N94)*'2'!V94</f>
        <v>-0.13991769547325109</v>
      </c>
      <c r="CY94" s="2">
        <f>('1'!$J94-$N94)*'2'!W94</f>
        <v>-0.17283950617283955</v>
      </c>
      <c r="CZ94" s="2">
        <f>('1'!$J94-$N94)*'2'!X94</f>
        <v>-0.17576898932831139</v>
      </c>
      <c r="DA94" s="2">
        <f>('1'!$J94-$N94)*'2'!Y94</f>
        <v>-0.18518518518518526</v>
      </c>
      <c r="DB94" s="2">
        <f>('1'!$J94-$N94)</f>
        <v>-0.66666666666666674</v>
      </c>
      <c r="DC94" s="2">
        <f>('1'!$K94-$O94)*'2'!V94</f>
        <v>6.9958847736625529E-2</v>
      </c>
      <c r="DD94" s="2">
        <f>('1'!$K94-$O94)*'2'!W94</f>
        <v>8.6419753086419762E-2</v>
      </c>
      <c r="DE94" s="2">
        <f>('1'!$K94-$O94)*'2'!X94</f>
        <v>8.7884494664155682E-2</v>
      </c>
      <c r="DF94" s="2">
        <f>('1'!$K94-$O94)*'2'!Y94</f>
        <v>9.2592592592592615E-2</v>
      </c>
      <c r="DG94" s="2">
        <f>('1'!$K94-$O94)</f>
        <v>0.33333333333333331</v>
      </c>
    </row>
    <row r="95" spans="2:111" ht="15" x14ac:dyDescent="0.25">
      <c r="B95" s="1">
        <v>6.7</v>
      </c>
      <c r="C95" s="1">
        <v>3.1</v>
      </c>
      <c r="D95" s="1">
        <v>4.7</v>
      </c>
      <c r="E95" s="1">
        <v>1.5</v>
      </c>
      <c r="F95" s="1" t="s">
        <v>6</v>
      </c>
      <c r="I95" s="2">
        <f>(B95-B$5)/(B$4-B$5)</f>
        <v>0.66666666666666663</v>
      </c>
      <c r="J95" s="2">
        <f>(C95-C$5)/(C$4-C$5)</f>
        <v>0.45833333333333331</v>
      </c>
      <c r="K95" s="2">
        <f>(D95-D$5)/(D$4-D$5)</f>
        <v>0.6271186440677966</v>
      </c>
      <c r="L95" s="2">
        <f>(E95-E$5)/(E$4-E$5)</f>
        <v>0.58333333333333337</v>
      </c>
      <c r="M95" s="3">
        <f>IF($F95=M$8,1,0)</f>
        <v>0</v>
      </c>
      <c r="N95" s="3">
        <f>IF($F95=N$8,1,0)</f>
        <v>1</v>
      </c>
      <c r="O95" s="3">
        <f>IF($F95=O$8,1,0)</f>
        <v>0</v>
      </c>
      <c r="CD95" s="2">
        <f ca="1">CD$2*$I95+CD$3*$J95+CD$4*$K95+CD$5*$L95+CD$6</f>
        <v>0.22038173050057613</v>
      </c>
      <c r="CE95" s="2">
        <f ca="1">CE$2*$I95+CE$3*$J95+CE$4*$K95+CE$5*$L95+CE$6</f>
        <v>2.5631070108949175E-2</v>
      </c>
      <c r="CF95" s="2">
        <f ca="1">CF$2*$I95+CF$3*$J95+CF$4*$K95+CF$5*$L95+CF$6</f>
        <v>0.85758242883478419</v>
      </c>
      <c r="CG95" s="2">
        <f t="shared" ca="1" si="12"/>
        <v>1.2465524868810711</v>
      </c>
      <c r="CH95" s="2">
        <f t="shared" ca="1" si="9"/>
        <v>1.0259623704578078</v>
      </c>
      <c r="CI95" s="2">
        <f t="shared" ca="1" si="10"/>
        <v>2.3574544849160697</v>
      </c>
      <c r="CJ95" s="2">
        <f t="shared" ca="1" si="13"/>
        <v>4.6299693422549488</v>
      </c>
      <c r="CK95" s="2">
        <f ca="1">CG95/'1'!$H95</f>
        <v>0.29766822372521518</v>
      </c>
      <c r="CL95" s="2">
        <f t="shared" ca="1" si="14"/>
        <v>0.22159161208573577</v>
      </c>
      <c r="CM95" s="2">
        <f t="shared" ca="1" si="15"/>
        <v>0.50917280669679577</v>
      </c>
      <c r="CN95" s="2">
        <f ca="1">-$M95*LOG(CK95)</f>
        <v>0</v>
      </c>
      <c r="CO95" s="2">
        <f ca="1">-$N95*LOG(CL95)</f>
        <v>0.65444668299516351</v>
      </c>
      <c r="CP95" s="2">
        <f ca="1">-$O95*LOG(CM95)</f>
        <v>0</v>
      </c>
      <c r="CQ95" s="2">
        <f t="shared" ca="1" si="11"/>
        <v>0.65444668299516351</v>
      </c>
      <c r="CR95" s="2"/>
      <c r="CS95" s="2">
        <f ca="1">(CK95-'2'!Z95)*'2'!V95</f>
        <v>0.28572885641240942</v>
      </c>
      <c r="CT95" s="2">
        <f>('1'!$I95-$M95)*'2'!W95</f>
        <v>6.7901234567901231E-2</v>
      </c>
      <c r="CU95" s="2">
        <f>('1'!$I95-$M95)*'2'!X95</f>
        <v>9.2906465787821718E-2</v>
      </c>
      <c r="CV95" s="2">
        <f>('1'!$I95-$M95)*'2'!Y95</f>
        <v>8.6419753086419762E-2</v>
      </c>
      <c r="CW95" s="2">
        <f>('1'!$I95-$M95)</f>
        <v>0.33333333333333337</v>
      </c>
      <c r="CX95" s="2">
        <f>('1'!$J95-$N95)*'2'!V95</f>
        <v>-0.19753086419753085</v>
      </c>
      <c r="CY95" s="2">
        <f>('1'!$J95-$N95)*'2'!W95</f>
        <v>-0.13580246913580243</v>
      </c>
      <c r="CZ95" s="2">
        <f>('1'!$J95-$N95)*'2'!X95</f>
        <v>-0.18581293157564341</v>
      </c>
      <c r="DA95" s="2">
        <f>('1'!$J95-$N95)*'2'!Y95</f>
        <v>-0.1728395061728395</v>
      </c>
      <c r="DB95" s="2">
        <f>('1'!$J95-$N95)</f>
        <v>-0.66666666666666663</v>
      </c>
      <c r="DC95" s="2">
        <f>('1'!$K95-$O95)*'2'!V95</f>
        <v>9.876543209876544E-2</v>
      </c>
      <c r="DD95" s="2">
        <f>('1'!$K95-$O95)*'2'!W95</f>
        <v>6.7901234567901231E-2</v>
      </c>
      <c r="DE95" s="2">
        <f>('1'!$K95-$O95)*'2'!X95</f>
        <v>9.2906465787821718E-2</v>
      </c>
      <c r="DF95" s="2">
        <f>('1'!$K95-$O95)*'2'!Y95</f>
        <v>8.6419753086419762E-2</v>
      </c>
      <c r="DG95" s="2">
        <f>('1'!$K95-$O95)</f>
        <v>0.33333333333333337</v>
      </c>
    </row>
    <row r="96" spans="2:111" ht="15" x14ac:dyDescent="0.25">
      <c r="B96" s="1">
        <v>6.3</v>
      </c>
      <c r="C96" s="1">
        <v>2.2999999999999998</v>
      </c>
      <c r="D96" s="1">
        <v>4.4000000000000004</v>
      </c>
      <c r="E96" s="1">
        <v>1.3</v>
      </c>
      <c r="F96" s="1" t="s">
        <v>6</v>
      </c>
      <c r="I96" s="2">
        <f>(B96-B$5)/(B$4-B$5)</f>
        <v>0.55555555555555547</v>
      </c>
      <c r="J96" s="2">
        <f>(C96-C$5)/(C$4-C$5)</f>
        <v>0.1249999999999999</v>
      </c>
      <c r="K96" s="2">
        <f>(D96-D$5)/(D$4-D$5)</f>
        <v>0.57627118644067798</v>
      </c>
      <c r="L96" s="2">
        <f>(E96-E$5)/(E$4-E$5)</f>
        <v>0.5</v>
      </c>
      <c r="M96" s="3">
        <f>IF($F96=M$8,1,0)</f>
        <v>0</v>
      </c>
      <c r="N96" s="3">
        <f>IF($F96=N$8,1,0)</f>
        <v>1</v>
      </c>
      <c r="O96" s="3">
        <f>IF($F96=O$8,1,0)</f>
        <v>0</v>
      </c>
      <c r="CD96" s="2">
        <f ca="1">CD$2*$I96+CD$3*$J96+CD$4*$K96+CD$5*$L96+CD$6</f>
        <v>0.12949114274164486</v>
      </c>
      <c r="CE96" s="2">
        <f ca="1">CE$2*$I96+CE$3*$J96+CE$4*$K96+CE$5*$L96+CE$6</f>
        <v>6.0729571693811414E-2</v>
      </c>
      <c r="CF96" s="2">
        <f ca="1">CF$2*$I96+CF$3*$J96+CF$4*$K96+CF$5*$L96+CF$6</f>
        <v>0.72489034582914225</v>
      </c>
      <c r="CG96" s="2">
        <f t="shared" ca="1" si="12"/>
        <v>1.1382490296524082</v>
      </c>
      <c r="CH96" s="2">
        <f t="shared" ca="1" si="9"/>
        <v>1.0626115150963582</v>
      </c>
      <c r="CI96" s="2">
        <f t="shared" ca="1" si="10"/>
        <v>2.0645047060024235</v>
      </c>
      <c r="CJ96" s="2">
        <f t="shared" ca="1" si="13"/>
        <v>4.2653652507511897</v>
      </c>
      <c r="CK96" s="2">
        <f ca="1">CG96/'1'!$H96</f>
        <v>0.28799740188310885</v>
      </c>
      <c r="CL96" s="2">
        <f t="shared" ca="1" si="14"/>
        <v>0.24912556196898206</v>
      </c>
      <c r="CM96" s="2">
        <f t="shared" ca="1" si="15"/>
        <v>0.48401592469457</v>
      </c>
      <c r="CN96" s="2">
        <f ca="1">-$M96*LOG(CK96)</f>
        <v>0</v>
      </c>
      <c r="CO96" s="2">
        <f ca="1">-$N96*LOG(CL96)</f>
        <v>0.60358170862360794</v>
      </c>
      <c r="CP96" s="2">
        <f ca="1">-$O96*LOG(CM96)</f>
        <v>0</v>
      </c>
      <c r="CQ96" s="2">
        <f t="shared" ca="1" si="11"/>
        <v>0.60358170862360794</v>
      </c>
      <c r="CR96" s="2"/>
      <c r="CS96" s="2">
        <f ca="1">(CK96-'2'!Z96)*'2'!V96</f>
        <v>0.23571952309870992</v>
      </c>
      <c r="CT96" s="2">
        <f>('1'!$I96-$M96)*'2'!W96</f>
        <v>1.8518518518518504E-2</v>
      </c>
      <c r="CU96" s="2">
        <f>('1'!$I96-$M96)*'2'!X96</f>
        <v>8.5373509102322678E-2</v>
      </c>
      <c r="CV96" s="2">
        <f>('1'!$I96-$M96)*'2'!Y96</f>
        <v>7.4074074074074084E-2</v>
      </c>
      <c r="CW96" s="2">
        <f>('1'!$I96-$M96)</f>
        <v>0.33333333333333337</v>
      </c>
      <c r="CX96" s="2">
        <f>('1'!$J96-$N96)*'2'!V96</f>
        <v>-0.16460905349794233</v>
      </c>
      <c r="CY96" s="2">
        <f>('1'!$J96-$N96)*'2'!W96</f>
        <v>-3.7037037037037E-2</v>
      </c>
      <c r="CZ96" s="2">
        <f>('1'!$J96-$N96)*'2'!X96</f>
        <v>-0.17074701820464533</v>
      </c>
      <c r="DA96" s="2">
        <f>('1'!$J96-$N96)*'2'!Y96</f>
        <v>-0.14814814814814814</v>
      </c>
      <c r="DB96" s="2">
        <f>('1'!$J96-$N96)</f>
        <v>-0.66666666666666663</v>
      </c>
      <c r="DC96" s="2">
        <f>('1'!$K96-$O96)*'2'!V96</f>
        <v>8.230452674897118E-2</v>
      </c>
      <c r="DD96" s="2">
        <f>('1'!$K96-$O96)*'2'!W96</f>
        <v>1.8518518518518504E-2</v>
      </c>
      <c r="DE96" s="2">
        <f>('1'!$K96-$O96)*'2'!X96</f>
        <v>8.5373509102322678E-2</v>
      </c>
      <c r="DF96" s="2">
        <f>('1'!$K96-$O96)*'2'!Y96</f>
        <v>7.4074074074074084E-2</v>
      </c>
      <c r="DG96" s="2">
        <f>('1'!$K96-$O96)</f>
        <v>0.33333333333333337</v>
      </c>
    </row>
    <row r="97" spans="2:111" ht="15" x14ac:dyDescent="0.25">
      <c r="B97" s="1">
        <v>5.6</v>
      </c>
      <c r="C97" s="1">
        <v>3</v>
      </c>
      <c r="D97" s="1">
        <v>4.0999999999999996</v>
      </c>
      <c r="E97" s="1">
        <v>1.3</v>
      </c>
      <c r="F97" s="1" t="s">
        <v>6</v>
      </c>
      <c r="I97" s="2">
        <f>(B97-B$5)/(B$4-B$5)</f>
        <v>0.36111111111111099</v>
      </c>
      <c r="J97" s="2">
        <f>(C97-C$5)/(C$4-C$5)</f>
        <v>0.41666666666666663</v>
      </c>
      <c r="K97" s="2">
        <f>(D97-D$5)/(D$4-D$5)</f>
        <v>0.52542372881355925</v>
      </c>
      <c r="L97" s="2">
        <f>(E97-E$5)/(E$4-E$5)</f>
        <v>0.5</v>
      </c>
      <c r="M97" s="3">
        <f>IF($F97=M$8,1,0)</f>
        <v>0</v>
      </c>
      <c r="N97" s="3">
        <f>IF($F97=N$8,1,0)</f>
        <v>1</v>
      </c>
      <c r="O97" s="3">
        <f>IF($F97=O$8,1,0)</f>
        <v>0</v>
      </c>
      <c r="CD97" s="2">
        <f ca="1">CD$2*$I97+CD$3*$J97+CD$4*$K97+CD$5*$L97+CD$6</f>
        <v>0.18142659171493158</v>
      </c>
      <c r="CE97" s="2">
        <f ca="1">CE$2*$I97+CE$3*$J97+CE$4*$K97+CE$5*$L97+CE$6</f>
        <v>4.1336280990549604E-2</v>
      </c>
      <c r="CF97" s="2">
        <f ca="1">CF$2*$I97+CF$3*$J97+CF$4*$K97+CF$5*$L97+CF$6</f>
        <v>0.6817997326695493</v>
      </c>
      <c r="CG97" s="2">
        <f t="shared" ca="1" si="12"/>
        <v>1.1989265223393333</v>
      </c>
      <c r="CH97" s="2">
        <f t="shared" ca="1" si="9"/>
        <v>1.0422025195190154</v>
      </c>
      <c r="CI97" s="2">
        <f t="shared" ca="1" si="10"/>
        <v>1.9774333831216333</v>
      </c>
      <c r="CJ97" s="2">
        <f t="shared" ca="1" si="13"/>
        <v>4.2185624249799822</v>
      </c>
      <c r="CK97" s="2">
        <f ca="1">CG97/'1'!$H97</f>
        <v>0.30194637378824984</v>
      </c>
      <c r="CL97" s="2">
        <f t="shared" ca="1" si="14"/>
        <v>0.24705158168281957</v>
      </c>
      <c r="CM97" s="2">
        <f t="shared" ca="1" si="15"/>
        <v>0.46874579155505008</v>
      </c>
      <c r="CN97" s="2">
        <f ca="1">-$M97*LOG(CK97)</f>
        <v>0</v>
      </c>
      <c r="CO97" s="2">
        <f ca="1">-$N97*LOG(CL97)</f>
        <v>0.60721236130938827</v>
      </c>
      <c r="CP97" s="2">
        <f ca="1">-$O97*LOG(CM97)</f>
        <v>0</v>
      </c>
      <c r="CQ97" s="2">
        <f t="shared" ca="1" si="11"/>
        <v>0.60721236130938827</v>
      </c>
      <c r="CR97" s="2"/>
      <c r="CS97" s="2">
        <f ca="1">(CK97-'2'!Z97)*'2'!V97</f>
        <v>0.15545641390017179</v>
      </c>
      <c r="CT97" s="2">
        <f>('1'!$I97-$M97)*'2'!W97</f>
        <v>6.1728395061728399E-2</v>
      </c>
      <c r="CU97" s="2">
        <f>('1'!$I97-$M97)*'2'!X97</f>
        <v>7.7840552416823611E-2</v>
      </c>
      <c r="CV97" s="2">
        <f>('1'!$I97-$M97)*'2'!Y97</f>
        <v>7.4074074074074084E-2</v>
      </c>
      <c r="CW97" s="2">
        <f>('1'!$I97-$M97)</f>
        <v>0.33333333333333331</v>
      </c>
      <c r="CX97" s="2">
        <f>('1'!$J97-$N97)*'2'!V97</f>
        <v>-0.10699588477366256</v>
      </c>
      <c r="CY97" s="2">
        <f>('1'!$J97-$N97)*'2'!W97</f>
        <v>-0.12345679012345681</v>
      </c>
      <c r="CZ97" s="2">
        <f>('1'!$J97-$N97)*'2'!X97</f>
        <v>-0.15568110483364725</v>
      </c>
      <c r="DA97" s="2">
        <f>('1'!$J97-$N97)*'2'!Y97</f>
        <v>-0.1481481481481482</v>
      </c>
      <c r="DB97" s="2">
        <f>('1'!$J97-$N97)</f>
        <v>-0.66666666666666674</v>
      </c>
      <c r="DC97" s="2">
        <f>('1'!$K97-$O97)*'2'!V97</f>
        <v>5.3497942386831268E-2</v>
      </c>
      <c r="DD97" s="2">
        <f>('1'!$K97-$O97)*'2'!W97</f>
        <v>6.1728395061728399E-2</v>
      </c>
      <c r="DE97" s="2">
        <f>('1'!$K97-$O97)*'2'!X97</f>
        <v>7.7840552416823611E-2</v>
      </c>
      <c r="DF97" s="2">
        <f>('1'!$K97-$O97)*'2'!Y97</f>
        <v>7.4074074074074084E-2</v>
      </c>
      <c r="DG97" s="2">
        <f>('1'!$K97-$O97)</f>
        <v>0.33333333333333331</v>
      </c>
    </row>
    <row r="98" spans="2:111" ht="15" x14ac:dyDescent="0.25">
      <c r="B98" s="1">
        <v>5.5</v>
      </c>
      <c r="C98" s="1">
        <v>2.5</v>
      </c>
      <c r="D98" s="1">
        <v>4</v>
      </c>
      <c r="E98" s="1">
        <v>1.3</v>
      </c>
      <c r="F98" s="1" t="s">
        <v>6</v>
      </c>
      <c r="I98" s="2">
        <f>(B98-B$5)/(B$4-B$5)</f>
        <v>0.33333333333333331</v>
      </c>
      <c r="J98" s="2">
        <f>(C98-C$5)/(C$4-C$5)</f>
        <v>0.20833333333333331</v>
      </c>
      <c r="K98" s="2">
        <f>(D98-D$5)/(D$4-D$5)</f>
        <v>0.50847457627118642</v>
      </c>
      <c r="L98" s="2">
        <f>(E98-E$5)/(E$4-E$5)</f>
        <v>0.5</v>
      </c>
      <c r="M98" s="3">
        <f>IF($F98=M$8,1,0)</f>
        <v>0</v>
      </c>
      <c r="N98" s="3">
        <f>IF($F98=N$8,1,0)</f>
        <v>1</v>
      </c>
      <c r="O98" s="3">
        <f>IF($F98=O$8,1,0)</f>
        <v>0</v>
      </c>
      <c r="CD98" s="2">
        <f ca="1">CD$2*$I98+CD$3*$J98+CD$4*$K98+CD$5*$L98+CD$6</f>
        <v>0.12515341917840389</v>
      </c>
      <c r="CE98" s="2">
        <f ca="1">CE$2*$I98+CE$3*$J98+CE$4*$K98+CE$5*$L98+CE$6</f>
        <v>6.0215387754720753E-2</v>
      </c>
      <c r="CF98" s="2">
        <f ca="1">CF$2*$I98+CF$3*$J98+CF$4*$K98+CF$5*$L98+CF$6</f>
        <v>0.63937288490531974</v>
      </c>
      <c r="CG98" s="2">
        <f t="shared" ca="1" si="12"/>
        <v>1.1333223131078969</v>
      </c>
      <c r="CH98" s="2">
        <f t="shared" ca="1" si="9"/>
        <v>1.0620652777670683</v>
      </c>
      <c r="CI98" s="2">
        <f t="shared" ca="1" si="10"/>
        <v>1.8952919403585116</v>
      </c>
      <c r="CJ98" s="2">
        <f t="shared" ca="1" si="13"/>
        <v>4.0906795312334765</v>
      </c>
      <c r="CK98" s="2">
        <f ca="1">CG98/'1'!$H98</f>
        <v>0.29273925121385413</v>
      </c>
      <c r="CL98" s="2">
        <f t="shared" ca="1" si="14"/>
        <v>0.25963052584733276</v>
      </c>
      <c r="CM98" s="2">
        <f t="shared" ca="1" si="15"/>
        <v>0.46331958440827015</v>
      </c>
      <c r="CN98" s="2">
        <f ca="1">-$M98*LOG(CK98)</f>
        <v>0</v>
      </c>
      <c r="CO98" s="2">
        <f ca="1">-$N98*LOG(CL98)</f>
        <v>0.58564424705013973</v>
      </c>
      <c r="CP98" s="2">
        <f ca="1">-$O98*LOG(CM98)</f>
        <v>0</v>
      </c>
      <c r="CQ98" s="2">
        <f t="shared" ca="1" si="11"/>
        <v>0.58564424705013973</v>
      </c>
      <c r="CR98" s="2"/>
      <c r="CS98" s="2">
        <f ca="1">(CK98-'2'!Z98)*'2'!V98</f>
        <v>0.14213421005637347</v>
      </c>
      <c r="CT98" s="2">
        <f>('1'!$I98-$M98)*'2'!W98</f>
        <v>3.0864197530864199E-2</v>
      </c>
      <c r="CU98" s="2">
        <f>('1'!$I98-$M98)*'2'!X98</f>
        <v>7.5329566854990593E-2</v>
      </c>
      <c r="CV98" s="2">
        <f>('1'!$I98-$M98)*'2'!Y98</f>
        <v>7.4074074074074084E-2</v>
      </c>
      <c r="CW98" s="2">
        <f>('1'!$I98-$M98)</f>
        <v>0.33333333333333331</v>
      </c>
      <c r="CX98" s="2">
        <f>('1'!$J98-$N98)*'2'!V98</f>
        <v>-9.8765432098765454E-2</v>
      </c>
      <c r="CY98" s="2">
        <f>('1'!$J98-$N98)*'2'!W98</f>
        <v>-6.1728395061728406E-2</v>
      </c>
      <c r="CZ98" s="2">
        <f>('1'!$J98-$N98)*'2'!X98</f>
        <v>-0.15065913370998121</v>
      </c>
      <c r="DA98" s="2">
        <f>('1'!$J98-$N98)*'2'!Y98</f>
        <v>-0.1481481481481482</v>
      </c>
      <c r="DB98" s="2">
        <f>('1'!$J98-$N98)</f>
        <v>-0.66666666666666674</v>
      </c>
      <c r="DC98" s="2">
        <f>('1'!$K98-$O98)*'2'!V98</f>
        <v>4.938271604938272E-2</v>
      </c>
      <c r="DD98" s="2">
        <f>('1'!$K98-$O98)*'2'!W98</f>
        <v>3.0864197530864199E-2</v>
      </c>
      <c r="DE98" s="2">
        <f>('1'!$K98-$O98)*'2'!X98</f>
        <v>7.5329566854990593E-2</v>
      </c>
      <c r="DF98" s="2">
        <f>('1'!$K98-$O98)*'2'!Y98</f>
        <v>7.4074074074074084E-2</v>
      </c>
      <c r="DG98" s="2">
        <f>('1'!$K98-$O98)</f>
        <v>0.33333333333333331</v>
      </c>
    </row>
    <row r="99" spans="2:111" ht="15" x14ac:dyDescent="0.25">
      <c r="B99" s="1">
        <v>5.5</v>
      </c>
      <c r="C99" s="1">
        <v>2.6</v>
      </c>
      <c r="D99" s="1">
        <v>4.4000000000000004</v>
      </c>
      <c r="E99" s="1">
        <v>1.2</v>
      </c>
      <c r="F99" s="1" t="s">
        <v>6</v>
      </c>
      <c r="I99" s="2">
        <f>(B99-B$5)/(B$4-B$5)</f>
        <v>0.33333333333333331</v>
      </c>
      <c r="J99" s="2">
        <f>(C99-C$5)/(C$4-C$5)</f>
        <v>0.25</v>
      </c>
      <c r="K99" s="2">
        <f>(D99-D$5)/(D$4-D$5)</f>
        <v>0.57627118644067798</v>
      </c>
      <c r="L99" s="2">
        <f>(E99-E$5)/(E$4-E$5)</f>
        <v>0.45833333333333331</v>
      </c>
      <c r="M99" s="3">
        <f>IF($F99=M$8,1,0)</f>
        <v>0</v>
      </c>
      <c r="N99" s="3">
        <f>IF($F99=N$8,1,0)</f>
        <v>1</v>
      </c>
      <c r="O99" s="3">
        <f>IF($F99=O$8,1,0)</f>
        <v>0</v>
      </c>
      <c r="CD99" s="2">
        <f ca="1">CD$2*$I99+CD$3*$J99+CD$4*$K99+CD$5*$L99+CD$6</f>
        <v>0.13466927107546212</v>
      </c>
      <c r="CE99" s="2">
        <f ca="1">CE$2*$I99+CE$3*$J99+CE$4*$K99+CE$5*$L99+CE$6</f>
        <v>5.9024451283510498E-2</v>
      </c>
      <c r="CF99" s="2">
        <f ca="1">CF$2*$I99+CF$3*$J99+CF$4*$K99+CF$5*$L99+CF$6</f>
        <v>0.65424590934600702</v>
      </c>
      <c r="CG99" s="2">
        <f t="shared" ca="1" si="12"/>
        <v>1.1441583155202764</v>
      </c>
      <c r="CH99" s="2">
        <f t="shared" ca="1" si="9"/>
        <v>1.0608011783734141</v>
      </c>
      <c r="CI99" s="2">
        <f t="shared" ca="1" si="10"/>
        <v>1.9236913326276011</v>
      </c>
      <c r="CJ99" s="2">
        <f t="shared" ca="1" si="13"/>
        <v>4.1286508265212918</v>
      </c>
      <c r="CK99" s="2">
        <f ca="1">CG99/'1'!$H99</f>
        <v>0.29354133851483616</v>
      </c>
      <c r="CL99" s="2">
        <f t="shared" ca="1" si="14"/>
        <v>0.2569365206568513</v>
      </c>
      <c r="CM99" s="2">
        <f t="shared" ca="1" si="15"/>
        <v>0.46593703692992128</v>
      </c>
      <c r="CN99" s="2">
        <f ca="1">-$M99*LOG(CK99)</f>
        <v>0</v>
      </c>
      <c r="CO99" s="2">
        <f ca="1">-$N99*LOG(CL99)</f>
        <v>0.59017416123587063</v>
      </c>
      <c r="CP99" s="2">
        <f ca="1">-$O99*LOG(CM99)</f>
        <v>0</v>
      </c>
      <c r="CQ99" s="2">
        <f t="shared" ca="1" si="11"/>
        <v>0.59017416123587063</v>
      </c>
      <c r="CR99" s="2"/>
      <c r="CS99" s="2">
        <f ca="1">(CK99-'2'!Z99)*'2'!V99</f>
        <v>0.14225303780466711</v>
      </c>
      <c r="CT99" s="2">
        <f>('1'!$I99-$M99)*'2'!W99</f>
        <v>3.7037037037037042E-2</v>
      </c>
      <c r="CU99" s="2">
        <f>('1'!$I99-$M99)*'2'!X99</f>
        <v>8.5373509102322678E-2</v>
      </c>
      <c r="CV99" s="2">
        <f>('1'!$I99-$M99)*'2'!Y99</f>
        <v>6.7901234567901245E-2</v>
      </c>
      <c r="CW99" s="2">
        <f>('1'!$I99-$M99)</f>
        <v>0.33333333333333331</v>
      </c>
      <c r="CX99" s="2">
        <f>('1'!$J99-$N99)*'2'!V99</f>
        <v>-9.8765432098765454E-2</v>
      </c>
      <c r="CY99" s="2">
        <f>('1'!$J99-$N99)*'2'!W99</f>
        <v>-7.4074074074074098E-2</v>
      </c>
      <c r="CZ99" s="2">
        <f>('1'!$J99-$N99)*'2'!X99</f>
        <v>-0.17074701820464538</v>
      </c>
      <c r="DA99" s="2">
        <f>('1'!$J99-$N99)*'2'!Y99</f>
        <v>-0.13580246913580252</v>
      </c>
      <c r="DB99" s="2">
        <f>('1'!$J99-$N99)</f>
        <v>-0.66666666666666674</v>
      </c>
      <c r="DC99" s="2">
        <f>('1'!$K99-$O99)*'2'!V99</f>
        <v>4.938271604938272E-2</v>
      </c>
      <c r="DD99" s="2">
        <f>('1'!$K99-$O99)*'2'!W99</f>
        <v>3.7037037037037042E-2</v>
      </c>
      <c r="DE99" s="2">
        <f>('1'!$K99-$O99)*'2'!X99</f>
        <v>8.5373509102322678E-2</v>
      </c>
      <c r="DF99" s="2">
        <f>('1'!$K99-$O99)*'2'!Y99</f>
        <v>6.7901234567901245E-2</v>
      </c>
      <c r="DG99" s="2">
        <f>('1'!$K99-$O99)</f>
        <v>0.33333333333333331</v>
      </c>
    </row>
    <row r="100" spans="2:111" ht="15" x14ac:dyDescent="0.25">
      <c r="B100" s="1">
        <v>6.1</v>
      </c>
      <c r="C100" s="1">
        <v>3</v>
      </c>
      <c r="D100" s="1">
        <v>4.5999999999999996</v>
      </c>
      <c r="E100" s="1">
        <v>1.4</v>
      </c>
      <c r="F100" s="1" t="s">
        <v>6</v>
      </c>
      <c r="I100" s="2">
        <f>(B100-B$5)/(B$4-B$5)</f>
        <v>0.49999999999999989</v>
      </c>
      <c r="J100" s="2">
        <f>(C100-C$5)/(C$4-C$5)</f>
        <v>0.41666666666666663</v>
      </c>
      <c r="K100" s="2">
        <f>(D100-D$5)/(D$4-D$5)</f>
        <v>0.61016949152542366</v>
      </c>
      <c r="L100" s="2">
        <f>(E100-E$5)/(E$4-E$5)</f>
        <v>0.54166666666666663</v>
      </c>
      <c r="M100" s="3">
        <f>IF($F100=M$8,1,0)</f>
        <v>0</v>
      </c>
      <c r="N100" s="3">
        <f>IF($F100=N$8,1,0)</f>
        <v>1</v>
      </c>
      <c r="O100" s="3">
        <f>IF($F100=O$8,1,0)</f>
        <v>0</v>
      </c>
      <c r="CD100" s="2">
        <f ca="1">CD$2*$I100+CD$3*$J100+CD$4*$K100+CD$5*$L100+CD$6</f>
        <v>0.19137993995596642</v>
      </c>
      <c r="CE100" s="2">
        <f ca="1">CE$2*$I100+CE$3*$J100+CE$4*$K100+CE$5*$L100+CE$6</f>
        <v>3.6274015193230313E-2</v>
      </c>
      <c r="CF100" s="2">
        <f ca="1">CF$2*$I100+CF$3*$J100+CF$4*$K100+CF$5*$L100+CF$6</f>
        <v>0.77601321790876465</v>
      </c>
      <c r="CG100" s="2">
        <f t="shared" ca="1" si="12"/>
        <v>1.2109194413708442</v>
      </c>
      <c r="CH100" s="2">
        <f t="shared" ca="1" si="9"/>
        <v>1.0369399448648711</v>
      </c>
      <c r="CI100" s="2">
        <f t="shared" ca="1" si="10"/>
        <v>2.1727925245520923</v>
      </c>
      <c r="CJ100" s="2">
        <f t="shared" ca="1" si="13"/>
        <v>4.4206519107878073</v>
      </c>
      <c r="CK100" s="2">
        <f ca="1">CG100/'1'!$H100</f>
        <v>0.29698233169303928</v>
      </c>
      <c r="CL100" s="2">
        <f t="shared" ca="1" si="14"/>
        <v>0.23456720089957894</v>
      </c>
      <c r="CM100" s="2">
        <f t="shared" ca="1" si="15"/>
        <v>0.49150952583481683</v>
      </c>
      <c r="CN100" s="2">
        <f ca="1">-$M100*LOG(CK100)</f>
        <v>0</v>
      </c>
      <c r="CO100" s="2">
        <f ca="1">-$N100*LOG(CL100)</f>
        <v>0.62973271457414148</v>
      </c>
      <c r="CP100" s="2">
        <f ca="1">-$O100*LOG(CM100)</f>
        <v>0</v>
      </c>
      <c r="CQ100" s="2">
        <f t="shared" ca="1" si="11"/>
        <v>0.62973271457414148</v>
      </c>
      <c r="CR100" s="2"/>
      <c r="CS100" s="2">
        <f ca="1">(CK100-'2'!Z100)*'2'!V100</f>
        <v>0.21414422185771234</v>
      </c>
      <c r="CT100" s="2">
        <f>('1'!$I100-$M100)*'2'!W100</f>
        <v>6.1728395061728392E-2</v>
      </c>
      <c r="CU100" s="2">
        <f>('1'!$I100-$M100)*'2'!X100</f>
        <v>9.0395480225988686E-2</v>
      </c>
      <c r="CV100" s="2">
        <f>('1'!$I100-$M100)*'2'!Y100</f>
        <v>8.0246913580246909E-2</v>
      </c>
      <c r="CW100" s="2">
        <f>('1'!$I100-$M100)</f>
        <v>0.33333333333333337</v>
      </c>
      <c r="CX100" s="2">
        <f>('1'!$J100-$N100)*'2'!V100</f>
        <v>-0.14814814814814808</v>
      </c>
      <c r="CY100" s="2">
        <f>('1'!$J100-$N100)*'2'!W100</f>
        <v>-0.12345679012345676</v>
      </c>
      <c r="CZ100" s="2">
        <f>('1'!$J100-$N100)*'2'!X100</f>
        <v>-0.18079096045197734</v>
      </c>
      <c r="DA100" s="2">
        <f>('1'!$J100-$N100)*'2'!Y100</f>
        <v>-0.16049382716049379</v>
      </c>
      <c r="DB100" s="2">
        <f>('1'!$J100-$N100)</f>
        <v>-0.66666666666666663</v>
      </c>
      <c r="DC100" s="2">
        <f>('1'!$K100-$O100)*'2'!V100</f>
        <v>7.4074074074074056E-2</v>
      </c>
      <c r="DD100" s="2">
        <f>('1'!$K100-$O100)*'2'!W100</f>
        <v>6.1728395061728392E-2</v>
      </c>
      <c r="DE100" s="2">
        <f>('1'!$K100-$O100)*'2'!X100</f>
        <v>9.0395480225988686E-2</v>
      </c>
      <c r="DF100" s="2">
        <f>('1'!$K100-$O100)*'2'!Y100</f>
        <v>8.0246913580246909E-2</v>
      </c>
      <c r="DG100" s="2">
        <f>('1'!$K100-$O100)</f>
        <v>0.33333333333333337</v>
      </c>
    </row>
    <row r="101" spans="2:111" ht="15" x14ac:dyDescent="0.25">
      <c r="B101" s="1">
        <v>5.8</v>
      </c>
      <c r="C101" s="1">
        <v>2.6</v>
      </c>
      <c r="D101" s="1">
        <v>4</v>
      </c>
      <c r="E101" s="1">
        <v>1.2</v>
      </c>
      <c r="F101" s="1" t="s">
        <v>6</v>
      </c>
      <c r="I101" s="2">
        <f>(B101-B$5)/(B$4-B$5)</f>
        <v>0.41666666666666663</v>
      </c>
      <c r="J101" s="2">
        <f>(C101-C$5)/(C$4-C$5)</f>
        <v>0.25</v>
      </c>
      <c r="K101" s="2">
        <f>(D101-D$5)/(D$4-D$5)</f>
        <v>0.50847457627118642</v>
      </c>
      <c r="L101" s="2">
        <f>(E101-E$5)/(E$4-E$5)</f>
        <v>0.45833333333333331</v>
      </c>
      <c r="M101" s="3">
        <f>IF($F101=M$8,1,0)</f>
        <v>0</v>
      </c>
      <c r="N101" s="3">
        <f>IF($F101=N$8,1,0)</f>
        <v>1</v>
      </c>
      <c r="O101" s="3">
        <f>IF($F101=O$8,1,0)</f>
        <v>0</v>
      </c>
      <c r="CD101" s="2">
        <f ca="1">CD$2*$I101+CD$3*$J101+CD$4*$K101+CD$5*$L101+CD$6</f>
        <v>0.15057421785631819</v>
      </c>
      <c r="CE101" s="2">
        <f ca="1">CE$2*$I101+CE$3*$J101+CE$4*$K101+CE$5*$L101+CE$6</f>
        <v>5.514250634219596E-2</v>
      </c>
      <c r="CF101" s="2">
        <f ca="1">CF$2*$I101+CF$3*$J101+CF$4*$K101+CF$5*$L101+CF$6</f>
        <v>0.65358925334978735</v>
      </c>
      <c r="CG101" s="2">
        <f t="shared" ca="1" si="12"/>
        <v>1.1625015802767713</v>
      </c>
      <c r="CH101" s="2">
        <f t="shared" ca="1" si="9"/>
        <v>1.0566911891425266</v>
      </c>
      <c r="CI101" s="2">
        <f t="shared" ca="1" si="10"/>
        <v>1.9224285438334481</v>
      </c>
      <c r="CJ101" s="2">
        <f t="shared" ca="1" si="13"/>
        <v>4.1416213132527453</v>
      </c>
      <c r="CK101" s="2">
        <f ca="1">CG101/'1'!$H101</f>
        <v>0.29778440470971418</v>
      </c>
      <c r="CL101" s="2">
        <f t="shared" ca="1" si="14"/>
        <v>0.25513949953879844</v>
      </c>
      <c r="CM101" s="2">
        <f t="shared" ca="1" si="15"/>
        <v>0.46417294060224251</v>
      </c>
      <c r="CN101" s="2">
        <f ca="1">-$M101*LOG(CK101)</f>
        <v>0</v>
      </c>
      <c r="CO101" s="2">
        <f ca="1">-$N101*LOG(CL101)</f>
        <v>0.59322230068545212</v>
      </c>
      <c r="CP101" s="2">
        <f ca="1">-$O101*LOG(CM101)</f>
        <v>0</v>
      </c>
      <c r="CQ101" s="2">
        <f t="shared" ca="1" si="11"/>
        <v>0.59322230068545212</v>
      </c>
      <c r="CR101" s="2"/>
      <c r="CS101" s="2">
        <f ca="1">(CK101-'2'!Z101)*'2'!V101</f>
        <v>0.17860205025488538</v>
      </c>
      <c r="CT101" s="2">
        <f>('1'!$I101-$M101)*'2'!W101</f>
        <v>3.7037037037037042E-2</v>
      </c>
      <c r="CU101" s="2">
        <f>('1'!$I101-$M101)*'2'!X101</f>
        <v>7.5329566854990593E-2</v>
      </c>
      <c r="CV101" s="2">
        <f>('1'!$I101-$M101)*'2'!Y101</f>
        <v>6.7901234567901245E-2</v>
      </c>
      <c r="CW101" s="2">
        <f>('1'!$I101-$M101)</f>
        <v>0.33333333333333331</v>
      </c>
      <c r="CX101" s="2">
        <f>('1'!$J101-$N101)*'2'!V101</f>
        <v>-0.12345679012345681</v>
      </c>
      <c r="CY101" s="2">
        <f>('1'!$J101-$N101)*'2'!W101</f>
        <v>-7.4074074074074098E-2</v>
      </c>
      <c r="CZ101" s="2">
        <f>('1'!$J101-$N101)*'2'!X101</f>
        <v>-0.15065913370998121</v>
      </c>
      <c r="DA101" s="2">
        <f>('1'!$J101-$N101)*'2'!Y101</f>
        <v>-0.13580246913580252</v>
      </c>
      <c r="DB101" s="2">
        <f>('1'!$J101-$N101)</f>
        <v>-0.66666666666666674</v>
      </c>
      <c r="DC101" s="2">
        <f>('1'!$K101-$O101)*'2'!V101</f>
        <v>6.1728395061728399E-2</v>
      </c>
      <c r="DD101" s="2">
        <f>('1'!$K101-$O101)*'2'!W101</f>
        <v>3.7037037037037042E-2</v>
      </c>
      <c r="DE101" s="2">
        <f>('1'!$K101-$O101)*'2'!X101</f>
        <v>7.5329566854990593E-2</v>
      </c>
      <c r="DF101" s="2">
        <f>('1'!$K101-$O101)*'2'!Y101</f>
        <v>6.7901234567901245E-2</v>
      </c>
      <c r="DG101" s="2">
        <f>('1'!$K101-$O101)</f>
        <v>0.33333333333333331</v>
      </c>
    </row>
    <row r="102" spans="2:111" ht="15" x14ac:dyDescent="0.25">
      <c r="B102" s="1">
        <v>5</v>
      </c>
      <c r="C102" s="1">
        <v>2.2999999999999998</v>
      </c>
      <c r="D102" s="1">
        <v>3.3</v>
      </c>
      <c r="E102" s="1">
        <v>1</v>
      </c>
      <c r="F102" s="1" t="s">
        <v>6</v>
      </c>
      <c r="I102" s="2">
        <f>(B102-B$5)/(B$4-B$5)</f>
        <v>0.19444444444444448</v>
      </c>
      <c r="J102" s="2">
        <f>(C102-C$5)/(C$4-C$5)</f>
        <v>0.1249999999999999</v>
      </c>
      <c r="K102" s="2">
        <f>(D102-D$5)/(D$4-D$5)</f>
        <v>0.38983050847457623</v>
      </c>
      <c r="L102" s="2">
        <f>(E102-E$5)/(E$4-E$5)</f>
        <v>0.375</v>
      </c>
      <c r="M102" s="3">
        <f>IF($F102=M$8,1,0)</f>
        <v>0</v>
      </c>
      <c r="N102" s="3">
        <f>IF($F102=N$8,1,0)</f>
        <v>1</v>
      </c>
      <c r="O102" s="3">
        <f>IF($F102=O$8,1,0)</f>
        <v>0</v>
      </c>
      <c r="CD102" s="2">
        <f ca="1">CD$2*$I102+CD$3*$J102+CD$4*$K102+CD$5*$L102+CD$6</f>
        <v>0.10267590937306628</v>
      </c>
      <c r="CE102" s="2">
        <f ca="1">CE$2*$I102+CE$3*$J102+CE$4*$K102+CE$5*$L102+CE$6</f>
        <v>7.496600710314201E-2</v>
      </c>
      <c r="CF102" s="2">
        <f ca="1">CF$2*$I102+CF$3*$J102+CF$4*$K102+CF$5*$L102+CF$6</f>
        <v>0.48639623774603752</v>
      </c>
      <c r="CG102" s="2">
        <f t="shared" ca="1" si="12"/>
        <v>1.1081322156090512</v>
      </c>
      <c r="CH102" s="2">
        <f t="shared" ca="1" si="9"/>
        <v>1.0778475111026153</v>
      </c>
      <c r="CI102" s="2">
        <f t="shared" ca="1" si="10"/>
        <v>1.6264443271830438</v>
      </c>
      <c r="CJ102" s="2">
        <f t="shared" ca="1" si="13"/>
        <v>3.8124240538947101</v>
      </c>
      <c r="CK102" s="2">
        <f ca="1">CG102/'1'!$H102</f>
        <v>0.29988270185909938</v>
      </c>
      <c r="CL102" s="2">
        <f t="shared" ca="1" si="14"/>
        <v>0.28271973313186499</v>
      </c>
      <c r="CM102" s="2">
        <f t="shared" ca="1" si="15"/>
        <v>0.42661684644484782</v>
      </c>
      <c r="CN102" s="2">
        <f ca="1">-$M102*LOG(CK102)</f>
        <v>0</v>
      </c>
      <c r="CO102" s="2">
        <f ca="1">-$N102*LOG(CL102)</f>
        <v>0.54864387778147194</v>
      </c>
      <c r="CP102" s="2">
        <f ca="1">-$O102*LOG(CM102)</f>
        <v>0</v>
      </c>
      <c r="CQ102" s="2">
        <f t="shared" ca="1" si="11"/>
        <v>0.54864387778147194</v>
      </c>
      <c r="CR102" s="2"/>
      <c r="CS102" s="2">
        <f ca="1">(CK102-'2'!Z102)*'2'!V102</f>
        <v>8.352895777383168E-2</v>
      </c>
      <c r="CT102" s="2">
        <f>('1'!$I102-$M102)*'2'!W102</f>
        <v>1.8518518518518507E-2</v>
      </c>
      <c r="CU102" s="2">
        <f>('1'!$I102-$M102)*'2'!X102</f>
        <v>5.7752667922159447E-2</v>
      </c>
      <c r="CV102" s="2">
        <f>('1'!$I102-$M102)*'2'!Y102</f>
        <v>5.5555555555555559E-2</v>
      </c>
      <c r="CW102" s="2">
        <f>('1'!$I102-$M102)</f>
        <v>0.33333333333333331</v>
      </c>
      <c r="CX102" s="2">
        <f>('1'!$J102-$N102)*'2'!V102</f>
        <v>-5.7613168724279865E-2</v>
      </c>
      <c r="CY102" s="2">
        <f>('1'!$J102-$N102)*'2'!W102</f>
        <v>-3.7037037037037021E-2</v>
      </c>
      <c r="CZ102" s="2">
        <f>('1'!$J102-$N102)*'2'!X102</f>
        <v>-0.11550533584431891</v>
      </c>
      <c r="DA102" s="2">
        <f>('1'!$J102-$N102)*'2'!Y102</f>
        <v>-0.11111111111111113</v>
      </c>
      <c r="DB102" s="2">
        <f>('1'!$J102-$N102)</f>
        <v>-0.66666666666666674</v>
      </c>
      <c r="DC102" s="2">
        <f>('1'!$K102-$O102)*'2'!V102</f>
        <v>2.8806584362139929E-2</v>
      </c>
      <c r="DD102" s="2">
        <f>('1'!$K102-$O102)*'2'!W102</f>
        <v>1.8518518518518507E-2</v>
      </c>
      <c r="DE102" s="2">
        <f>('1'!$K102-$O102)*'2'!X102</f>
        <v>5.7752667922159447E-2</v>
      </c>
      <c r="DF102" s="2">
        <f>('1'!$K102-$O102)*'2'!Y102</f>
        <v>5.5555555555555559E-2</v>
      </c>
      <c r="DG102" s="2">
        <f>('1'!$K102-$O102)</f>
        <v>0.33333333333333331</v>
      </c>
    </row>
    <row r="103" spans="2:111" ht="15" x14ac:dyDescent="0.25">
      <c r="B103" s="1">
        <v>5.6</v>
      </c>
      <c r="C103" s="1">
        <v>2.7</v>
      </c>
      <c r="D103" s="1">
        <v>4.2</v>
      </c>
      <c r="E103" s="1">
        <v>1.3</v>
      </c>
      <c r="F103" s="1" t="s">
        <v>6</v>
      </c>
      <c r="I103" s="2">
        <f>(B103-B$5)/(B$4-B$5)</f>
        <v>0.36111111111111099</v>
      </c>
      <c r="J103" s="2">
        <f>(C103-C$5)/(C$4-C$5)</f>
        <v>0.29166666666666669</v>
      </c>
      <c r="K103" s="2">
        <f>(D103-D$5)/(D$4-D$5)</f>
        <v>0.5423728813559322</v>
      </c>
      <c r="L103" s="2">
        <f>(E103-E$5)/(E$4-E$5)</f>
        <v>0.5</v>
      </c>
      <c r="M103" s="3">
        <f>IF($F103=M$8,1,0)</f>
        <v>0</v>
      </c>
      <c r="N103" s="3">
        <f>IF($F103=N$8,1,0)</f>
        <v>1</v>
      </c>
      <c r="O103" s="3">
        <f>IF($F103=O$8,1,0)</f>
        <v>0</v>
      </c>
      <c r="CD103" s="2">
        <f ca="1">CD$2*$I103+CD$3*$J103+CD$4*$K103+CD$5*$L103+CD$6</f>
        <v>0.14812262240941004</v>
      </c>
      <c r="CE103" s="2">
        <f ca="1">CE$2*$I103+CE$3*$J103+CE$4*$K103+CE$5*$L103+CE$6</f>
        <v>5.2476892532959063E-2</v>
      </c>
      <c r="CF103" s="2">
        <f ca="1">CF$2*$I103+CF$3*$J103+CF$4*$K103+CF$5*$L103+CF$6</f>
        <v>0.67226257539929524</v>
      </c>
      <c r="CG103" s="2">
        <f t="shared" ca="1" si="12"/>
        <v>1.1596550873457903</v>
      </c>
      <c r="CH103" s="2">
        <f t="shared" ca="1" si="9"/>
        <v>1.0538782093411858</v>
      </c>
      <c r="CI103" s="2">
        <f t="shared" ca="1" si="10"/>
        <v>1.9586639358088798</v>
      </c>
      <c r="CJ103" s="2">
        <f t="shared" ca="1" si="13"/>
        <v>4.1721972324958561</v>
      </c>
      <c r="CK103" s="2">
        <f ca="1">CG103/'1'!$H103</f>
        <v>0.29522876984736951</v>
      </c>
      <c r="CL103" s="2">
        <f t="shared" ca="1" si="14"/>
        <v>0.25259549120374247</v>
      </c>
      <c r="CM103" s="2">
        <f t="shared" ca="1" si="15"/>
        <v>0.46945621854918507</v>
      </c>
      <c r="CN103" s="2">
        <f ca="1">-$M103*LOG(CK103)</f>
        <v>0</v>
      </c>
      <c r="CO103" s="2">
        <f ca="1">-$N103*LOG(CL103)</f>
        <v>0.59757440581081822</v>
      </c>
      <c r="CP103" s="2">
        <f ca="1">-$O103*LOG(CM103)</f>
        <v>0</v>
      </c>
      <c r="CQ103" s="2">
        <f t="shared" ca="1" si="11"/>
        <v>0.59757440581081822</v>
      </c>
      <c r="CR103" s="2"/>
      <c r="CS103" s="2">
        <f ca="1">(CK103-'2'!Z103)*'2'!V103</f>
        <v>0.15437827993435144</v>
      </c>
      <c r="CT103" s="2">
        <f>('1'!$I103-$M103)*'2'!W103</f>
        <v>4.3209876543209881E-2</v>
      </c>
      <c r="CU103" s="2">
        <f>('1'!$I103-$M103)*'2'!X103</f>
        <v>8.0351537978656629E-2</v>
      </c>
      <c r="CV103" s="2">
        <f>('1'!$I103-$M103)*'2'!Y103</f>
        <v>7.4074074074074084E-2</v>
      </c>
      <c r="CW103" s="2">
        <f>('1'!$I103-$M103)</f>
        <v>0.33333333333333337</v>
      </c>
      <c r="CX103" s="2">
        <f>('1'!$J103-$N103)*'2'!V103</f>
        <v>-0.10699588477366251</v>
      </c>
      <c r="CY103" s="2">
        <f>('1'!$J103-$N103)*'2'!W103</f>
        <v>-8.6419753086419748E-2</v>
      </c>
      <c r="CZ103" s="2">
        <f>('1'!$J103-$N103)*'2'!X103</f>
        <v>-0.16070307595731323</v>
      </c>
      <c r="DA103" s="2">
        <f>('1'!$J103-$N103)*'2'!Y103</f>
        <v>-0.14814814814814814</v>
      </c>
      <c r="DB103" s="2">
        <f>('1'!$J103-$N103)</f>
        <v>-0.66666666666666663</v>
      </c>
      <c r="DC103" s="2">
        <f>('1'!$K103-$O103)*'2'!V103</f>
        <v>5.3497942386831261E-2</v>
      </c>
      <c r="DD103" s="2">
        <f>('1'!$K103-$O103)*'2'!W103</f>
        <v>4.3209876543209881E-2</v>
      </c>
      <c r="DE103" s="2">
        <f>('1'!$K103-$O103)*'2'!X103</f>
        <v>8.0351537978656629E-2</v>
      </c>
      <c r="DF103" s="2">
        <f>('1'!$K103-$O103)*'2'!Y103</f>
        <v>7.4074074074074084E-2</v>
      </c>
      <c r="DG103" s="2">
        <f>('1'!$K103-$O103)</f>
        <v>0.33333333333333337</v>
      </c>
    </row>
    <row r="104" spans="2:111" ht="15" x14ac:dyDescent="0.25">
      <c r="B104" s="1">
        <v>5.7</v>
      </c>
      <c r="C104" s="1">
        <v>3</v>
      </c>
      <c r="D104" s="1">
        <v>4.2</v>
      </c>
      <c r="E104" s="1">
        <v>1.2</v>
      </c>
      <c r="F104" s="1" t="s">
        <v>6</v>
      </c>
      <c r="I104" s="2">
        <f>(B104-B$5)/(B$4-B$5)</f>
        <v>0.38888888888888895</v>
      </c>
      <c r="J104" s="2">
        <f>(C104-C$5)/(C$4-C$5)</f>
        <v>0.41666666666666663</v>
      </c>
      <c r="K104" s="2">
        <f>(D104-D$5)/(D$4-D$5)</f>
        <v>0.5423728813559322</v>
      </c>
      <c r="L104" s="2">
        <f>(E104-E$5)/(E$4-E$5)</f>
        <v>0.45833333333333331</v>
      </c>
      <c r="M104" s="3">
        <f>IF($F104=M$8,1,0)</f>
        <v>0</v>
      </c>
      <c r="N104" s="3">
        <f>IF($F104=N$8,1,0)</f>
        <v>1</v>
      </c>
      <c r="O104" s="3">
        <f>IF($F104=O$8,1,0)</f>
        <v>0</v>
      </c>
      <c r="CD104" s="2">
        <f ca="1">CD$2*$I104+CD$3*$J104+CD$4*$K104+CD$5*$L104+CD$6</f>
        <v>0.18741031538691477</v>
      </c>
      <c r="CE104" s="2">
        <f ca="1">CE$2*$I104+CE$3*$J104+CE$4*$K104+CE$5*$L104+CE$6</f>
        <v>4.2073619659562925E-2</v>
      </c>
      <c r="CF104" s="2">
        <f ca="1">CF$2*$I104+CF$3*$J104+CF$4*$K104+CF$5*$L104+CF$6</f>
        <v>0.67989958386513905</v>
      </c>
      <c r="CG104" s="2">
        <f t="shared" ca="1" si="12"/>
        <v>1.2061220739786784</v>
      </c>
      <c r="CH104" s="2">
        <f t="shared" ca="1" si="9"/>
        <v>1.0429712591134863</v>
      </c>
      <c r="CI104" s="2">
        <f t="shared" ca="1" si="10"/>
        <v>1.9736795330092554</v>
      </c>
      <c r="CJ104" s="2">
        <f t="shared" ca="1" si="13"/>
        <v>4.2227728661014199</v>
      </c>
      <c r="CK104" s="2">
        <f ca="1">CG104/'1'!$H104</f>
        <v>0.30366560993419894</v>
      </c>
      <c r="CL104" s="2">
        <f t="shared" ca="1" si="14"/>
        <v>0.24698729772704683</v>
      </c>
      <c r="CM104" s="2">
        <f t="shared" ca="1" si="15"/>
        <v>0.46738946080976662</v>
      </c>
      <c r="CN104" s="2">
        <f ca="1">-$M104*LOG(CK104)</f>
        <v>0</v>
      </c>
      <c r="CO104" s="2">
        <f ca="1">-$N104*LOG(CL104)</f>
        <v>0.60732538143224957</v>
      </c>
      <c r="CP104" s="2">
        <f ca="1">-$O104*LOG(CM104)</f>
        <v>0</v>
      </c>
      <c r="CQ104" s="2">
        <f t="shared" ca="1" si="11"/>
        <v>0.60732538143224957</v>
      </c>
      <c r="CR104" s="2"/>
      <c r="CS104" s="2">
        <f ca="1">(CK104-'2'!Z104)*'2'!V104</f>
        <v>0.1677117515112608</v>
      </c>
      <c r="CT104" s="2">
        <f>('1'!$I104-$M104)*'2'!W104</f>
        <v>6.1728395061728399E-2</v>
      </c>
      <c r="CU104" s="2">
        <f>('1'!$I104-$M104)*'2'!X104</f>
        <v>8.0351537978656642E-2</v>
      </c>
      <c r="CV104" s="2">
        <f>('1'!$I104-$M104)*'2'!Y104</f>
        <v>6.7901234567901245E-2</v>
      </c>
      <c r="CW104" s="2">
        <f>('1'!$I104-$M104)</f>
        <v>0.33333333333333331</v>
      </c>
      <c r="CX104" s="2">
        <f>('1'!$J104-$N104)*'2'!V104</f>
        <v>-0.11522633744855973</v>
      </c>
      <c r="CY104" s="2">
        <f>('1'!$J104-$N104)*'2'!W104</f>
        <v>-0.12345679012345681</v>
      </c>
      <c r="CZ104" s="2">
        <f>('1'!$J104-$N104)*'2'!X104</f>
        <v>-0.16070307595731331</v>
      </c>
      <c r="DA104" s="2">
        <f>('1'!$J104-$N104)*'2'!Y104</f>
        <v>-0.13580246913580252</v>
      </c>
      <c r="DB104" s="2">
        <f>('1'!$J104-$N104)</f>
        <v>-0.66666666666666674</v>
      </c>
      <c r="DC104" s="2">
        <f>('1'!$K104-$O104)*'2'!V104</f>
        <v>5.7613168724279858E-2</v>
      </c>
      <c r="DD104" s="2">
        <f>('1'!$K104-$O104)*'2'!W104</f>
        <v>6.1728395061728399E-2</v>
      </c>
      <c r="DE104" s="2">
        <f>('1'!$K104-$O104)*'2'!X104</f>
        <v>8.0351537978656642E-2</v>
      </c>
      <c r="DF104" s="2">
        <f>('1'!$K104-$O104)*'2'!Y104</f>
        <v>6.7901234567901245E-2</v>
      </c>
      <c r="DG104" s="2">
        <f>('1'!$K104-$O104)</f>
        <v>0.33333333333333331</v>
      </c>
    </row>
    <row r="105" spans="2:111" ht="15" x14ac:dyDescent="0.25">
      <c r="B105" s="1">
        <v>5.7</v>
      </c>
      <c r="C105" s="1">
        <v>2.9</v>
      </c>
      <c r="D105" s="1">
        <v>4.2</v>
      </c>
      <c r="E105" s="1">
        <v>1.3</v>
      </c>
      <c r="F105" s="1" t="s">
        <v>6</v>
      </c>
      <c r="I105" s="2">
        <f>(B105-B$5)/(B$4-B$5)</f>
        <v>0.38888888888888895</v>
      </c>
      <c r="J105" s="2">
        <f>(C105-C$5)/(C$4-C$5)</f>
        <v>0.37499999999999989</v>
      </c>
      <c r="K105" s="2">
        <f>(D105-D$5)/(D$4-D$5)</f>
        <v>0.5423728813559322</v>
      </c>
      <c r="L105" s="2">
        <f>(E105-E$5)/(E$4-E$5)</f>
        <v>0.5</v>
      </c>
      <c r="M105" s="3">
        <f>IF($F105=M$8,1,0)</f>
        <v>0</v>
      </c>
      <c r="N105" s="3">
        <f>IF($F105=N$8,1,0)</f>
        <v>1</v>
      </c>
      <c r="O105" s="3">
        <f>IF($F105=O$8,1,0)</f>
        <v>0</v>
      </c>
      <c r="CD105" s="2">
        <f ca="1">CD$2*$I105+CD$3*$J105+CD$4*$K105+CD$5*$L105+CD$6</f>
        <v>0.17335937159022966</v>
      </c>
      <c r="CE105" s="2">
        <f ca="1">CE$2*$I105+CE$3*$J105+CE$4*$K105+CE$5*$L105+CE$6</f>
        <v>4.4247116917722637E-2</v>
      </c>
      <c r="CF105" s="2">
        <f ca="1">CF$2*$I105+CF$3*$J105+CF$4*$K105+CF$5*$L105+CF$6</f>
        <v>0.69177703040366445</v>
      </c>
      <c r="CG105" s="2">
        <f t="shared" ca="1" si="12"/>
        <v>1.1892934265657875</v>
      </c>
      <c r="CH105" s="2">
        <f t="shared" ca="1" si="9"/>
        <v>1.0452406196165358</v>
      </c>
      <c r="CI105" s="2">
        <f t="shared" ca="1" si="10"/>
        <v>1.9972615761417831</v>
      </c>
      <c r="CJ105" s="2">
        <f t="shared" ca="1" si="13"/>
        <v>4.2317956223241069</v>
      </c>
      <c r="CK105" s="2">
        <f ca="1">CG105/'1'!$H105</f>
        <v>0.29942865781197664</v>
      </c>
      <c r="CL105" s="2">
        <f t="shared" ca="1" si="14"/>
        <v>0.246996951861888</v>
      </c>
      <c r="CM105" s="2">
        <f t="shared" ca="1" si="15"/>
        <v>0.47196550929954523</v>
      </c>
      <c r="CN105" s="2">
        <f ca="1">-$M105*LOG(CK105)</f>
        <v>0</v>
      </c>
      <c r="CO105" s="2">
        <f ca="1">-$N105*LOG(CL105)</f>
        <v>0.60730840624531557</v>
      </c>
      <c r="CP105" s="2">
        <f ca="1">-$O105*LOG(CM105)</f>
        <v>0</v>
      </c>
      <c r="CQ105" s="2">
        <f t="shared" ref="CQ105:CQ136" ca="1" si="16">SUM(CN105:CP105)</f>
        <v>0.60730840624531557</v>
      </c>
      <c r="CR105" s="2"/>
      <c r="CS105" s="2">
        <f ca="1">(CK105-'2'!Z105)*'2'!V105</f>
        <v>0.16697943879877794</v>
      </c>
      <c r="CT105" s="2">
        <f>('1'!$I105-$M105)*'2'!W105</f>
        <v>5.5555555555555552E-2</v>
      </c>
      <c r="CU105" s="2">
        <f>('1'!$I105-$M105)*'2'!X105</f>
        <v>8.0351537978656642E-2</v>
      </c>
      <c r="CV105" s="2">
        <f>('1'!$I105-$M105)*'2'!Y105</f>
        <v>7.4074074074074084E-2</v>
      </c>
      <c r="CW105" s="2">
        <f>('1'!$I105-$M105)</f>
        <v>0.33333333333333331</v>
      </c>
      <c r="CX105" s="2">
        <f>('1'!$J105-$N105)*'2'!V105</f>
        <v>-0.11522633744855973</v>
      </c>
      <c r="CY105" s="2">
        <f>('1'!$J105-$N105)*'2'!W105</f>
        <v>-0.11111111111111112</v>
      </c>
      <c r="CZ105" s="2">
        <f>('1'!$J105-$N105)*'2'!X105</f>
        <v>-0.16070307595731331</v>
      </c>
      <c r="DA105" s="2">
        <f>('1'!$J105-$N105)*'2'!Y105</f>
        <v>-0.1481481481481482</v>
      </c>
      <c r="DB105" s="2">
        <f>('1'!$J105-$N105)</f>
        <v>-0.66666666666666674</v>
      </c>
      <c r="DC105" s="2">
        <f>('1'!$K105-$O105)*'2'!V105</f>
        <v>5.7613168724279858E-2</v>
      </c>
      <c r="DD105" s="2">
        <f>('1'!$K105-$O105)*'2'!W105</f>
        <v>5.5555555555555552E-2</v>
      </c>
      <c r="DE105" s="2">
        <f>('1'!$K105-$O105)*'2'!X105</f>
        <v>8.0351537978656642E-2</v>
      </c>
      <c r="DF105" s="2">
        <f>('1'!$K105-$O105)*'2'!Y105</f>
        <v>7.4074074074074084E-2</v>
      </c>
      <c r="DG105" s="2">
        <f>('1'!$K105-$O105)</f>
        <v>0.33333333333333331</v>
      </c>
    </row>
    <row r="106" spans="2:111" ht="15" x14ac:dyDescent="0.25">
      <c r="B106" s="1">
        <v>6.2</v>
      </c>
      <c r="C106" s="1">
        <v>2.9</v>
      </c>
      <c r="D106" s="1">
        <v>4.3</v>
      </c>
      <c r="E106" s="1">
        <v>1.3</v>
      </c>
      <c r="F106" s="1" t="s">
        <v>6</v>
      </c>
      <c r="I106" s="2">
        <f>(B106-B$5)/(B$4-B$5)</f>
        <v>0.52777777777777779</v>
      </c>
      <c r="J106" s="2">
        <f>(C106-C$5)/(C$4-C$5)</f>
        <v>0.37499999999999989</v>
      </c>
      <c r="K106" s="2">
        <f>(D106-D$5)/(D$4-D$5)</f>
        <v>0.55932203389830504</v>
      </c>
      <c r="L106" s="2">
        <f>(E106-E$5)/(E$4-E$5)</f>
        <v>0.5</v>
      </c>
      <c r="M106" s="3">
        <f>IF($F106=M$8,1,0)</f>
        <v>0</v>
      </c>
      <c r="N106" s="3">
        <f>IF($F106=N$8,1,0)</f>
        <v>1</v>
      </c>
      <c r="O106" s="3">
        <f>IF($F106=O$8,1,0)</f>
        <v>0</v>
      </c>
      <c r="CD106" s="2">
        <f ca="1">CD$2*$I106+CD$3*$J106+CD$4*$K106+CD$5*$L106+CD$6</f>
        <v>0.19117535675070485</v>
      </c>
      <c r="CE106" s="2">
        <f ca="1">CE$2*$I106+CE$3*$J106+CE$4*$K106+CE$5*$L106+CE$6</f>
        <v>3.9660450190518205E-2</v>
      </c>
      <c r="CF106" s="2">
        <f ca="1">CF$2*$I106+CF$3*$J106+CF$4*$K106+CF$5*$L106+CF$6</f>
        <v>0.74195433978678915</v>
      </c>
      <c r="CG106" s="2">
        <f t="shared" ca="1" si="12"/>
        <v>1.2106717329295724</v>
      </c>
      <c r="CH106" s="2">
        <f t="shared" ca="1" si="9"/>
        <v>1.040457427085171</v>
      </c>
      <c r="CI106" s="2">
        <f t="shared" ca="1" si="10"/>
        <v>2.1000356899238404</v>
      </c>
      <c r="CJ106" s="2">
        <f t="shared" ca="1" si="13"/>
        <v>4.3511648499385842</v>
      </c>
      <c r="CK106" s="2">
        <f ca="1">CG106/'1'!$H106</f>
        <v>0.30009778330477271</v>
      </c>
      <c r="CL106" s="2">
        <f t="shared" ca="1" si="14"/>
        <v>0.23912158306294848</v>
      </c>
      <c r="CM106" s="2">
        <f t="shared" ca="1" si="15"/>
        <v>0.4826375838078123</v>
      </c>
      <c r="CN106" s="2">
        <f ca="1">-$M106*LOG(CK106)</f>
        <v>0</v>
      </c>
      <c r="CO106" s="2">
        <f ca="1">-$N106*LOG(CL106)</f>
        <v>0.62138122278799934</v>
      </c>
      <c r="CP106" s="2">
        <f ca="1">-$O106*LOG(CM106)</f>
        <v>0</v>
      </c>
      <c r="CQ106" s="2">
        <f t="shared" ca="1" si="16"/>
        <v>0.62138122278799934</v>
      </c>
      <c r="CR106" s="2"/>
      <c r="CS106" s="2">
        <f ca="1">(CK106-'2'!Z106)*'2'!V106</f>
        <v>0.22677190801799194</v>
      </c>
      <c r="CT106" s="2">
        <f>('1'!$I106-$M106)*'2'!W106</f>
        <v>5.5555555555555539E-2</v>
      </c>
      <c r="CU106" s="2">
        <f>('1'!$I106-$M106)*'2'!X106</f>
        <v>8.2862523540489633E-2</v>
      </c>
      <c r="CV106" s="2">
        <f>('1'!$I106-$M106)*'2'!Y106</f>
        <v>7.4074074074074084E-2</v>
      </c>
      <c r="CW106" s="2">
        <f>('1'!$I106-$M106)</f>
        <v>0.33333333333333337</v>
      </c>
      <c r="CX106" s="2">
        <f>('1'!$J106-$N106)*'2'!V106</f>
        <v>-0.15637860082304525</v>
      </c>
      <c r="CY106" s="2">
        <f>('1'!$J106-$N106)*'2'!W106</f>
        <v>-0.11111111111111106</v>
      </c>
      <c r="CZ106" s="2">
        <f>('1'!$J106-$N106)*'2'!X106</f>
        <v>-0.16572504708097924</v>
      </c>
      <c r="DA106" s="2">
        <f>('1'!$J106-$N106)*'2'!Y106</f>
        <v>-0.14814814814814814</v>
      </c>
      <c r="DB106" s="2">
        <f>('1'!$J106-$N106)</f>
        <v>-0.66666666666666663</v>
      </c>
      <c r="DC106" s="2">
        <f>('1'!$K106-$O106)*'2'!V106</f>
        <v>7.8189300411522639E-2</v>
      </c>
      <c r="DD106" s="2">
        <f>('1'!$K106-$O106)*'2'!W106</f>
        <v>5.5555555555555539E-2</v>
      </c>
      <c r="DE106" s="2">
        <f>('1'!$K106-$O106)*'2'!X106</f>
        <v>8.2862523540489633E-2</v>
      </c>
      <c r="DF106" s="2">
        <f>('1'!$K106-$O106)*'2'!Y106</f>
        <v>7.4074074074074084E-2</v>
      </c>
      <c r="DG106" s="2">
        <f>('1'!$K106-$O106)</f>
        <v>0.33333333333333337</v>
      </c>
    </row>
    <row r="107" spans="2:111" ht="15" x14ac:dyDescent="0.25">
      <c r="B107" s="1">
        <v>5.0999999999999996</v>
      </c>
      <c r="C107" s="1">
        <v>2.5</v>
      </c>
      <c r="D107" s="1">
        <v>3</v>
      </c>
      <c r="E107" s="1">
        <v>1.1000000000000001</v>
      </c>
      <c r="F107" s="1" t="s">
        <v>6</v>
      </c>
      <c r="I107" s="2">
        <f>(B107-B$5)/(B$4-B$5)</f>
        <v>0.22222222222222213</v>
      </c>
      <c r="J107" s="2">
        <f>(C107-C$5)/(C$4-C$5)</f>
        <v>0.20833333333333331</v>
      </c>
      <c r="K107" s="2">
        <f>(D107-D$5)/(D$4-D$5)</f>
        <v>0.33898305084745761</v>
      </c>
      <c r="L107" s="2">
        <f>(E107-E$5)/(E$4-E$5)</f>
        <v>0.41666666666666669</v>
      </c>
      <c r="M107" s="3">
        <f>IF($F107=M$8,1,0)</f>
        <v>0</v>
      </c>
      <c r="N107" s="3">
        <f>IF($F107=N$8,1,0)</f>
        <v>1</v>
      </c>
      <c r="O107" s="3">
        <f>IF($F107=O$8,1,0)</f>
        <v>0</v>
      </c>
      <c r="CD107" s="2">
        <f ca="1">CD$2*$I107+CD$3*$J107+CD$4*$K107+CD$5*$L107+CD$6</f>
        <v>0.12798643245879257</v>
      </c>
      <c r="CE107" s="2">
        <f ca="1">CE$2*$I107+CE$3*$J107+CE$4*$K107+CE$5*$L107+CE$6</f>
        <v>6.4541151040629172E-2</v>
      </c>
      <c r="CF107" s="2">
        <f ca="1">CF$2*$I107+CF$3*$J107+CF$4*$K107+CF$5*$L107+CF$6</f>
        <v>0.50313354439287505</v>
      </c>
      <c r="CG107" s="2">
        <f t="shared" ca="1" si="12"/>
        <v>1.1365375825719686</v>
      </c>
      <c r="CH107" s="2">
        <f t="shared" ca="1" si="9"/>
        <v>1.066669471900284</v>
      </c>
      <c r="CI107" s="2">
        <f t="shared" ca="1" si="10"/>
        <v>1.6538957149346714</v>
      </c>
      <c r="CJ107" s="2">
        <f t="shared" ca="1" si="13"/>
        <v>3.8571027694069238</v>
      </c>
      <c r="CK107" s="2">
        <f ca="1">CG107/'1'!$H107</f>
        <v>0.30445061663708528</v>
      </c>
      <c r="CL107" s="2">
        <f t="shared" ca="1" si="14"/>
        <v>0.27654681134262271</v>
      </c>
      <c r="CM107" s="2">
        <f t="shared" ca="1" si="15"/>
        <v>0.42879223443376852</v>
      </c>
      <c r="CN107" s="2">
        <f ca="1">-$M107*LOG(CK107)</f>
        <v>0</v>
      </c>
      <c r="CO107" s="2">
        <f ca="1">-$N107*LOG(CL107)</f>
        <v>0.55823134469540237</v>
      </c>
      <c r="CP107" s="2">
        <f ca="1">-$O107*LOG(CM107)</f>
        <v>0</v>
      </c>
      <c r="CQ107" s="2">
        <f t="shared" ca="1" si="16"/>
        <v>0.55823134469540237</v>
      </c>
      <c r="CR107" s="2"/>
      <c r="CS107" s="2">
        <f ca="1">(CK107-'2'!Z107)*'2'!V107</f>
        <v>9.591281810407426E-2</v>
      </c>
      <c r="CT107" s="2">
        <f>('1'!$I107-$M107)*'2'!W107</f>
        <v>3.0864197530864199E-2</v>
      </c>
      <c r="CU107" s="2">
        <f>('1'!$I107-$M107)*'2'!X107</f>
        <v>5.02197112366604E-2</v>
      </c>
      <c r="CV107" s="2">
        <f>('1'!$I107-$M107)*'2'!Y107</f>
        <v>6.1728395061728419E-2</v>
      </c>
      <c r="CW107" s="2">
        <f>('1'!$I107-$M107)</f>
        <v>0.33333333333333331</v>
      </c>
      <c r="CX107" s="2">
        <f>('1'!$J107-$N107)*'2'!V107</f>
        <v>-6.5843621399176946E-2</v>
      </c>
      <c r="CY107" s="2">
        <f>('1'!$J107-$N107)*'2'!W107</f>
        <v>-6.1728395061728406E-2</v>
      </c>
      <c r="CZ107" s="2">
        <f>('1'!$J107-$N107)*'2'!X107</f>
        <v>-0.10043942247332081</v>
      </c>
      <c r="DA107" s="2">
        <f>('1'!$J107-$N107)*'2'!Y107</f>
        <v>-0.12345679012345685</v>
      </c>
      <c r="DB107" s="2">
        <f>('1'!$J107-$N107)</f>
        <v>-0.66666666666666674</v>
      </c>
      <c r="DC107" s="2">
        <f>('1'!$K107-$O107)*'2'!V107</f>
        <v>3.2921810699588466E-2</v>
      </c>
      <c r="DD107" s="2">
        <f>('1'!$K107-$O107)*'2'!W107</f>
        <v>3.0864197530864199E-2</v>
      </c>
      <c r="DE107" s="2">
        <f>('1'!$K107-$O107)*'2'!X107</f>
        <v>5.02197112366604E-2</v>
      </c>
      <c r="DF107" s="2">
        <f>('1'!$K107-$O107)*'2'!Y107</f>
        <v>6.1728395061728419E-2</v>
      </c>
      <c r="DG107" s="2">
        <f>('1'!$K107-$O107)</f>
        <v>0.33333333333333331</v>
      </c>
    </row>
    <row r="108" spans="2:111" ht="15" x14ac:dyDescent="0.25">
      <c r="B108" s="1">
        <v>5.7</v>
      </c>
      <c r="C108" s="1">
        <v>2.8</v>
      </c>
      <c r="D108" s="1">
        <v>4.0999999999999996</v>
      </c>
      <c r="E108" s="1">
        <v>1.3</v>
      </c>
      <c r="F108" s="1" t="s">
        <v>6</v>
      </c>
      <c r="I108" s="2">
        <f>(B108-B$5)/(B$4-B$5)</f>
        <v>0.38888888888888895</v>
      </c>
      <c r="J108" s="2">
        <f>(C108-C$5)/(C$4-C$5)</f>
        <v>0.3333333333333332</v>
      </c>
      <c r="K108" s="2">
        <f>(D108-D$5)/(D$4-D$5)</f>
        <v>0.52542372881355925</v>
      </c>
      <c r="L108" s="2">
        <f>(E108-E$5)/(E$4-E$5)</f>
        <v>0.5</v>
      </c>
      <c r="M108" s="3">
        <f>IF($F108=M$8,1,0)</f>
        <v>0</v>
      </c>
      <c r="N108" s="3">
        <f>IF($F108=N$8,1,0)</f>
        <v>1</v>
      </c>
      <c r="O108" s="3">
        <f>IF($F108=O$8,1,0)</f>
        <v>0</v>
      </c>
      <c r="CD108" s="2">
        <f ca="1">CD$2*$I108+CD$3*$J108+CD$4*$K108+CD$5*$L108+CD$6</f>
        <v>0.16376974578826475</v>
      </c>
      <c r="CE108" s="2">
        <f ca="1">CE$2*$I108+CE$3*$J108+CE$4*$K108+CE$5*$L108+CE$6</f>
        <v>4.7633133836209304E-2</v>
      </c>
      <c r="CF108" s="2">
        <f ca="1">CF$2*$I108+CF$3*$J108+CF$4*$K108+CF$5*$L108+CF$6</f>
        <v>0.6796811543205088</v>
      </c>
      <c r="CG108" s="2">
        <f t="shared" ca="1" si="12"/>
        <v>1.1779430575146437</v>
      </c>
      <c r="CH108" s="2">
        <f t="shared" ca="1" si="9"/>
        <v>1.048785820706706</v>
      </c>
      <c r="CI108" s="2">
        <f t="shared" ca="1" si="10"/>
        <v>1.973248470167758</v>
      </c>
      <c r="CJ108" s="2">
        <f t="shared" ca="1" si="13"/>
        <v>4.1999773483891074</v>
      </c>
      <c r="CK108" s="2">
        <f ca="1">CG108/'1'!$H108</f>
        <v>0.29831445282940389</v>
      </c>
      <c r="CL108" s="2">
        <f t="shared" ca="1" si="14"/>
        <v>0.24971225645037481</v>
      </c>
      <c r="CM108" s="2">
        <f t="shared" ca="1" si="15"/>
        <v>0.46982359819740299</v>
      </c>
      <c r="CN108" s="2">
        <f ca="1">-$M108*LOG(CK108)</f>
        <v>0</v>
      </c>
      <c r="CO108" s="2">
        <f ca="1">-$N108*LOG(CL108)</f>
        <v>0.6025601409560889</v>
      </c>
      <c r="CP108" s="2">
        <f ca="1">-$O108*LOG(CM108)</f>
        <v>0</v>
      </c>
      <c r="CQ108" s="2">
        <f t="shared" ca="1" si="16"/>
        <v>0.6025601409560889</v>
      </c>
      <c r="CR108" s="2"/>
      <c r="CS108" s="2">
        <f ca="1">(CK108-'2'!Z108)*'2'!V108</f>
        <v>0.16678686015981475</v>
      </c>
      <c r="CT108" s="2">
        <f>('1'!$I108-$M108)*'2'!W108</f>
        <v>4.9382716049382699E-2</v>
      </c>
      <c r="CU108" s="2">
        <f>('1'!$I108-$M108)*'2'!X108</f>
        <v>7.7840552416823611E-2</v>
      </c>
      <c r="CV108" s="2">
        <f>('1'!$I108-$M108)*'2'!Y108</f>
        <v>7.4074074074074084E-2</v>
      </c>
      <c r="CW108" s="2">
        <f>('1'!$I108-$M108)</f>
        <v>0.33333333333333331</v>
      </c>
      <c r="CX108" s="2">
        <f>('1'!$J108-$N108)*'2'!V108</f>
        <v>-0.11522633744855973</v>
      </c>
      <c r="CY108" s="2">
        <f>('1'!$J108-$N108)*'2'!W108</f>
        <v>-9.8765432098765413E-2</v>
      </c>
      <c r="CZ108" s="2">
        <f>('1'!$J108-$N108)*'2'!X108</f>
        <v>-0.15568110483364725</v>
      </c>
      <c r="DA108" s="2">
        <f>('1'!$J108-$N108)*'2'!Y108</f>
        <v>-0.1481481481481482</v>
      </c>
      <c r="DB108" s="2">
        <f>('1'!$J108-$N108)</f>
        <v>-0.66666666666666674</v>
      </c>
      <c r="DC108" s="2">
        <f>('1'!$K108-$O108)*'2'!V108</f>
        <v>5.7613168724279858E-2</v>
      </c>
      <c r="DD108" s="2">
        <f>('1'!$K108-$O108)*'2'!W108</f>
        <v>4.9382716049382699E-2</v>
      </c>
      <c r="DE108" s="2">
        <f>('1'!$K108-$O108)*'2'!X108</f>
        <v>7.7840552416823611E-2</v>
      </c>
      <c r="DF108" s="2">
        <f>('1'!$K108-$O108)*'2'!Y108</f>
        <v>7.4074074074074084E-2</v>
      </c>
      <c r="DG108" s="2">
        <f>('1'!$K108-$O108)</f>
        <v>0.33333333333333331</v>
      </c>
    </row>
    <row r="109" spans="2:111" ht="15" x14ac:dyDescent="0.25">
      <c r="B109" s="1">
        <v>6.3</v>
      </c>
      <c r="C109" s="1">
        <v>3.3</v>
      </c>
      <c r="D109" s="1">
        <v>6</v>
      </c>
      <c r="E109" s="1">
        <v>2.5</v>
      </c>
      <c r="F109" s="1" t="s">
        <v>7</v>
      </c>
      <c r="I109" s="2">
        <f>(B109-B$5)/(B$4-B$5)</f>
        <v>0.55555555555555547</v>
      </c>
      <c r="J109" s="2">
        <f>(C109-C$5)/(C$4-C$5)</f>
        <v>0.54166666666666652</v>
      </c>
      <c r="K109" s="2">
        <f>(D109-D$5)/(D$4-D$5)</f>
        <v>0.84745762711864403</v>
      </c>
      <c r="L109" s="2">
        <f>(E109-E$5)/(E$4-E$5)</f>
        <v>1</v>
      </c>
      <c r="M109" s="3">
        <f>IF($F109=M$8,1,0)</f>
        <v>0</v>
      </c>
      <c r="N109" s="3">
        <f>IF($F109=N$8,1,0)</f>
        <v>0</v>
      </c>
      <c r="O109" s="3">
        <f>IF($F109=O$8,1,0)</f>
        <v>1</v>
      </c>
      <c r="CD109" s="2">
        <f ca="1">CD$2*$I109+CD$3*$J109+CD$4*$K109+CD$5*$L109+CD$6</f>
        <v>0.17865422267409137</v>
      </c>
      <c r="CE109" s="2">
        <f ca="1">CE$2*$I109+CE$3*$J109+CE$4*$K109+CE$5*$L109+CE$6</f>
        <v>1.0845325404597123E-2</v>
      </c>
      <c r="CF109" s="2">
        <f ca="1">CF$2*$I109+CF$3*$J109+CF$4*$K109+CF$5*$L109+CF$6</f>
        <v>1.0934032716520508</v>
      </c>
      <c r="CG109" s="2">
        <f t="shared" ca="1" si="12"/>
        <v>1.1956072588042854</v>
      </c>
      <c r="CH109" s="2">
        <f t="shared" ca="1" si="9"/>
        <v>1.0109043491303491</v>
      </c>
      <c r="CI109" s="2">
        <f t="shared" ca="1" si="10"/>
        <v>2.9844135791608037</v>
      </c>
      <c r="CJ109" s="2">
        <f t="shared" ca="1" si="13"/>
        <v>5.1909251870954378</v>
      </c>
      <c r="CK109" s="2">
        <f ca="1">CG109/'1'!$H109</f>
        <v>0.26862845805642382</v>
      </c>
      <c r="CL109" s="2">
        <f t="shared" ca="1" si="14"/>
        <v>0.19474454219518367</v>
      </c>
      <c r="CM109" s="2">
        <f t="shared" ca="1" si="15"/>
        <v>0.57492902933373247</v>
      </c>
      <c r="CN109" s="2">
        <f ca="1">-$M109*LOG(CK109)</f>
        <v>0</v>
      </c>
      <c r="CO109" s="2">
        <f ca="1">-$N109*LOG(CL109)</f>
        <v>0</v>
      </c>
      <c r="CP109" s="2">
        <f ca="1">-$O109*LOG(CM109)</f>
        <v>0.24038576239044118</v>
      </c>
      <c r="CQ109" s="2">
        <f t="shared" ca="1" si="16"/>
        <v>0.24038576239044118</v>
      </c>
      <c r="CR109" s="2"/>
      <c r="CS109" s="2">
        <f ca="1">(CK109-'2'!Z109)*'2'!V109</f>
        <v>-3.9941281035129304E-3</v>
      </c>
      <c r="CT109" s="2">
        <f>('1'!$I109-$M109)*'2'!W109</f>
        <v>2.006172839506172E-2</v>
      </c>
      <c r="CU109" s="2">
        <f>('1'!$I109-$M109)*'2'!X109</f>
        <v>3.1387319522912738E-2</v>
      </c>
      <c r="CV109" s="2">
        <f>('1'!$I109-$M109)*'2'!Y109</f>
        <v>3.7037037037037035E-2</v>
      </c>
      <c r="CW109" s="2">
        <f>('1'!$I109-$M109)</f>
        <v>0.33333333333333331</v>
      </c>
      <c r="CX109" s="2">
        <f>('1'!$J109-$N109)*'2'!V109</f>
        <v>2.0576131687242791E-2</v>
      </c>
      <c r="CY109" s="2">
        <f>('1'!$J109-$N109)*'2'!W109</f>
        <v>2.006172839506172E-2</v>
      </c>
      <c r="CZ109" s="2">
        <f>('1'!$J109-$N109)*'2'!X109</f>
        <v>3.1387319522912738E-2</v>
      </c>
      <c r="DA109" s="2">
        <f>('1'!$J109-$N109)*'2'!Y109</f>
        <v>3.7037037037037035E-2</v>
      </c>
      <c r="DB109" s="2">
        <f>('1'!$J109-$N109)</f>
        <v>0.33333333333333331</v>
      </c>
      <c r="DC109" s="2">
        <f>('1'!$K109-$O109)*'2'!V109</f>
        <v>-4.115226337448559E-2</v>
      </c>
      <c r="DD109" s="2">
        <f>('1'!$K109-$O109)*'2'!W109</f>
        <v>-4.0123456790123448E-2</v>
      </c>
      <c r="DE109" s="2">
        <f>('1'!$K109-$O109)*'2'!X109</f>
        <v>-6.2774639045825489E-2</v>
      </c>
      <c r="DF109" s="2">
        <f>('1'!$K109-$O109)*'2'!Y109</f>
        <v>-7.4074074074074084E-2</v>
      </c>
      <c r="DG109" s="2">
        <f>('1'!$K109-$O109)</f>
        <v>-0.66666666666666674</v>
      </c>
    </row>
    <row r="110" spans="2:111" ht="15" x14ac:dyDescent="0.25">
      <c r="B110" s="1">
        <v>5.8</v>
      </c>
      <c r="C110" s="1">
        <v>2.7</v>
      </c>
      <c r="D110" s="1">
        <v>5.0999999999999996</v>
      </c>
      <c r="E110" s="1">
        <v>1.9</v>
      </c>
      <c r="F110" s="1" t="s">
        <v>7</v>
      </c>
      <c r="I110" s="2">
        <f>(B110-B$5)/(B$4-B$5)</f>
        <v>0.41666666666666663</v>
      </c>
      <c r="J110" s="2">
        <f>(C110-C$5)/(C$4-C$5)</f>
        <v>0.29166666666666669</v>
      </c>
      <c r="K110" s="2">
        <f>(D110-D$5)/(D$4-D$5)</f>
        <v>0.69491525423728806</v>
      </c>
      <c r="L110" s="2">
        <f>(E110-E$5)/(E$4-E$5)</f>
        <v>0.75</v>
      </c>
      <c r="M110" s="3">
        <f>IF($F110=M$8,1,0)</f>
        <v>0</v>
      </c>
      <c r="N110" s="3">
        <f>IF($F110=N$8,1,0)</f>
        <v>0</v>
      </c>
      <c r="O110" s="3">
        <f>IF($F110=O$8,1,0)</f>
        <v>1</v>
      </c>
      <c r="CD110" s="2">
        <f ca="1">CD$2*$I110+CD$3*$J110+CD$4*$K110+CD$5*$L110+CD$6</f>
        <v>0.12553329877052133</v>
      </c>
      <c r="CE110" s="2">
        <f ca="1">CE$2*$I110+CE$3*$J110+CE$4*$K110+CE$5*$L110+CE$6</f>
        <v>4.4005772391632711E-2</v>
      </c>
      <c r="CF110" s="2">
        <f ca="1">CF$2*$I110+CF$3*$J110+CF$4*$K110+CF$5*$L110+CF$6</f>
        <v>0.85356124101911934</v>
      </c>
      <c r="CG110" s="2">
        <f t="shared" ca="1" si="12"/>
        <v>1.1337529209103177</v>
      </c>
      <c r="CH110" s="2">
        <f t="shared" ca="1" si="9"/>
        <v>1.0449883869532552</v>
      </c>
      <c r="CI110" s="2">
        <f t="shared" ca="1" si="10"/>
        <v>2.3479937521053889</v>
      </c>
      <c r="CJ110" s="2">
        <f t="shared" ca="1" si="13"/>
        <v>4.5267350599689617</v>
      </c>
      <c r="CK110" s="2">
        <f ca="1">CG110/'1'!$H110</f>
        <v>0.27571050776072187</v>
      </c>
      <c r="CL110" s="2">
        <f t="shared" ca="1" si="14"/>
        <v>0.2308481439955137</v>
      </c>
      <c r="CM110" s="2">
        <f t="shared" ca="1" si="15"/>
        <v>0.5186947592469634</v>
      </c>
      <c r="CN110" s="2">
        <f ca="1">-$M110*LOG(CK110)</f>
        <v>0</v>
      </c>
      <c r="CO110" s="2">
        <f ca="1">-$N110*LOG(CL110)</f>
        <v>0</v>
      </c>
      <c r="CP110" s="2">
        <f ca="1">-$O110*LOG(CM110)</f>
        <v>0.28508813997946875</v>
      </c>
      <c r="CQ110" s="2">
        <f t="shared" ca="1" si="16"/>
        <v>0.28508813997946875</v>
      </c>
      <c r="CR110" s="2"/>
      <c r="CS110" s="2">
        <f ca="1">(CK110-'2'!Z110)*'2'!V110</f>
        <v>-2.6677234061394215E-3</v>
      </c>
      <c r="CT110" s="2">
        <f>('1'!$I110-$M110)*'2'!W110</f>
        <v>1.0802469135802474E-2</v>
      </c>
      <c r="CU110" s="2">
        <f>('1'!$I110-$M110)*'2'!X110</f>
        <v>2.5737602008788458E-2</v>
      </c>
      <c r="CV110" s="2">
        <f>('1'!$I110-$M110)*'2'!Y110</f>
        <v>2.7777777777777783E-2</v>
      </c>
      <c r="CW110" s="2">
        <f>('1'!$I110-$M110)</f>
        <v>0.33333333333333337</v>
      </c>
      <c r="CX110" s="2">
        <f>('1'!$J110-$N110)*'2'!V110</f>
        <v>1.5432098765432101E-2</v>
      </c>
      <c r="CY110" s="2">
        <f>('1'!$J110-$N110)*'2'!W110</f>
        <v>1.0802469135802474E-2</v>
      </c>
      <c r="CZ110" s="2">
        <f>('1'!$J110-$N110)*'2'!X110</f>
        <v>2.5737602008788458E-2</v>
      </c>
      <c r="DA110" s="2">
        <f>('1'!$J110-$N110)*'2'!Y110</f>
        <v>2.7777777777777783E-2</v>
      </c>
      <c r="DB110" s="2">
        <f>('1'!$J110-$N110)</f>
        <v>0.33333333333333337</v>
      </c>
      <c r="DC110" s="2">
        <f>('1'!$K110-$O110)*'2'!V110</f>
        <v>-3.0864197530864199E-2</v>
      </c>
      <c r="DD110" s="2">
        <f>('1'!$K110-$O110)*'2'!W110</f>
        <v>-2.1604938271604944E-2</v>
      </c>
      <c r="DE110" s="2">
        <f>('1'!$K110-$O110)*'2'!X110</f>
        <v>-5.1475204017576909E-2</v>
      </c>
      <c r="DF110" s="2">
        <f>('1'!$K110-$O110)*'2'!Y110</f>
        <v>-5.5555555555555559E-2</v>
      </c>
      <c r="DG110" s="2">
        <f>('1'!$K110-$O110)</f>
        <v>-0.66666666666666663</v>
      </c>
    </row>
    <row r="111" spans="2:111" ht="15" x14ac:dyDescent="0.25">
      <c r="B111" s="1">
        <v>7.1</v>
      </c>
      <c r="C111" s="1">
        <v>3</v>
      </c>
      <c r="D111" s="1">
        <v>5.9</v>
      </c>
      <c r="E111" s="1">
        <v>2.1</v>
      </c>
      <c r="F111" s="1" t="s">
        <v>7</v>
      </c>
      <c r="I111" s="2">
        <f>(B111-B$5)/(B$4-B$5)</f>
        <v>0.77777777777777757</v>
      </c>
      <c r="J111" s="2">
        <f>(C111-C$5)/(C$4-C$5)</f>
        <v>0.41666666666666663</v>
      </c>
      <c r="K111" s="2">
        <f>(D111-D$5)/(D$4-D$5)</f>
        <v>0.83050847457627119</v>
      </c>
      <c r="L111" s="2">
        <f>(E111-E$5)/(E$4-E$5)</f>
        <v>0.83333333333333337</v>
      </c>
      <c r="M111" s="3">
        <f>IF($F111=M$8,1,0)</f>
        <v>0</v>
      </c>
      <c r="N111" s="3">
        <f>IF($F111=N$8,1,0)</f>
        <v>0</v>
      </c>
      <c r="O111" s="3">
        <f>IF($F111=O$8,1,0)</f>
        <v>1</v>
      </c>
      <c r="CD111" s="2">
        <f ca="1">CD$2*$I111+CD$3*$J111+CD$4*$K111+CD$5*$L111+CD$6</f>
        <v>0.19124759241424832</v>
      </c>
      <c r="CE111" s="2">
        <f ca="1">CE$2*$I111+CE$3*$J111+CE$4*$K111+CE$5*$L111+CE$6</f>
        <v>1.959560490348225E-2</v>
      </c>
      <c r="CF111" s="2">
        <f ca="1">CF$2*$I111+CF$3*$J111+CF$4*$K111+CF$5*$L111+CF$6</f>
        <v>1.0709315660059937</v>
      </c>
      <c r="CG111" s="2">
        <f t="shared" ca="1" si="12"/>
        <v>1.2107591897642471</v>
      </c>
      <c r="CH111" s="2">
        <f t="shared" ca="1" si="9"/>
        <v>1.0197888590156585</v>
      </c>
      <c r="CI111" s="2">
        <f t="shared" ca="1" si="10"/>
        <v>2.9180966338120058</v>
      </c>
      <c r="CJ111" s="2">
        <f t="shared" ca="1" si="13"/>
        <v>5.148644682591911</v>
      </c>
      <c r="CK111" s="2">
        <f ca="1">CG111/'1'!$H111</f>
        <v>0.27439315699965594</v>
      </c>
      <c r="CL111" s="2">
        <f t="shared" ca="1" si="14"/>
        <v>0.19806937978526037</v>
      </c>
      <c r="CM111" s="2">
        <f t="shared" ca="1" si="15"/>
        <v>0.56676986152848841</v>
      </c>
      <c r="CN111" s="2">
        <f ca="1">-$M111*LOG(CK111)</f>
        <v>0</v>
      </c>
      <c r="CO111" s="2">
        <f ca="1">-$N111*LOG(CL111)</f>
        <v>0</v>
      </c>
      <c r="CP111" s="2">
        <f ca="1">-$O111*LOG(CM111)</f>
        <v>0.24659325179061981</v>
      </c>
      <c r="CQ111" s="2">
        <f t="shared" ca="1" si="16"/>
        <v>0.24659325179061981</v>
      </c>
      <c r="CR111" s="2"/>
      <c r="CS111" s="2">
        <f ca="1">(CK111-'2'!Z111)*'2'!V111</f>
        <v>-5.0935954856264377E-3</v>
      </c>
      <c r="CT111" s="2">
        <f>('1'!$I111-$M111)*'2'!W111</f>
        <v>1.5432098765432094E-2</v>
      </c>
      <c r="CU111" s="2">
        <f>('1'!$I111-$M111)*'2'!X111</f>
        <v>3.0759573132454483E-2</v>
      </c>
      <c r="CV111" s="2">
        <f>('1'!$I111-$M111)*'2'!Y111</f>
        <v>3.0864197530864196E-2</v>
      </c>
      <c r="CW111" s="2">
        <f>('1'!$I111-$M111)</f>
        <v>0.33333333333333331</v>
      </c>
      <c r="CX111" s="2">
        <f>('1'!$J111-$N111)*'2'!V111</f>
        <v>2.8806584362139905E-2</v>
      </c>
      <c r="CY111" s="2">
        <f>('1'!$J111-$N111)*'2'!W111</f>
        <v>1.5432098765432094E-2</v>
      </c>
      <c r="CZ111" s="2">
        <f>('1'!$J111-$N111)*'2'!X111</f>
        <v>3.0759573132454483E-2</v>
      </c>
      <c r="DA111" s="2">
        <f>('1'!$J111-$N111)*'2'!Y111</f>
        <v>3.0864197530864196E-2</v>
      </c>
      <c r="DB111" s="2">
        <f>('1'!$J111-$N111)</f>
        <v>0.33333333333333331</v>
      </c>
      <c r="DC111" s="2">
        <f>('1'!$K111-$O111)*'2'!V111</f>
        <v>-5.7613168724279823E-2</v>
      </c>
      <c r="DD111" s="2">
        <f>('1'!$K111-$O111)*'2'!W111</f>
        <v>-3.0864197530864196E-2</v>
      </c>
      <c r="DE111" s="2">
        <f>('1'!$K111-$O111)*'2'!X111</f>
        <v>-6.151914626490898E-2</v>
      </c>
      <c r="DF111" s="2">
        <f>('1'!$K111-$O111)*'2'!Y111</f>
        <v>-6.1728395061728399E-2</v>
      </c>
      <c r="DG111" s="2">
        <f>('1'!$K111-$O111)</f>
        <v>-0.66666666666666674</v>
      </c>
    </row>
    <row r="112" spans="2:111" ht="15" x14ac:dyDescent="0.25">
      <c r="B112" s="1">
        <v>6.3</v>
      </c>
      <c r="C112" s="1">
        <v>2.9</v>
      </c>
      <c r="D112" s="1">
        <v>5.6</v>
      </c>
      <c r="E112" s="1">
        <v>1.8</v>
      </c>
      <c r="F112" s="1" t="s">
        <v>7</v>
      </c>
      <c r="I112" s="2">
        <f>(B112-B$5)/(B$4-B$5)</f>
        <v>0.55555555555555547</v>
      </c>
      <c r="J112" s="2">
        <f>(C112-C$5)/(C$4-C$5)</f>
        <v>0.37499999999999989</v>
      </c>
      <c r="K112" s="2">
        <f>(D112-D$5)/(D$4-D$5)</f>
        <v>0.77966101694915246</v>
      </c>
      <c r="L112" s="2">
        <f>(E112-E$5)/(E$4-E$5)</f>
        <v>0.70833333333333337</v>
      </c>
      <c r="M112" s="3">
        <f>IF($F112=M$8,1,0)</f>
        <v>0</v>
      </c>
      <c r="N112" s="3">
        <f>IF($F112=N$8,1,0)</f>
        <v>0</v>
      </c>
      <c r="O112" s="3">
        <f>IF($F112=O$8,1,0)</f>
        <v>1</v>
      </c>
      <c r="CD112" s="2">
        <f ca="1">CD$2*$I112+CD$3*$J112+CD$4*$K112+CD$5*$L112+CD$6</f>
        <v>0.16358853460492634</v>
      </c>
      <c r="CE112" s="2">
        <f ca="1">CE$2*$I112+CE$3*$J112+CE$4*$K112+CE$5*$L112+CE$6</f>
        <v>3.459651207799401E-2</v>
      </c>
      <c r="CF112" s="2">
        <f ca="1">CF$2*$I112+CF$3*$J112+CF$4*$K112+CF$5*$L112+CF$6</f>
        <v>0.92401983318128389</v>
      </c>
      <c r="CG112" s="2">
        <f t="shared" ca="1" si="12"/>
        <v>1.1777296203984664</v>
      </c>
      <c r="CH112" s="2">
        <f t="shared" ca="1" si="9"/>
        <v>1.0352019330447348</v>
      </c>
      <c r="CI112" s="2">
        <f t="shared" ca="1" si="10"/>
        <v>2.5193976197859276</v>
      </c>
      <c r="CJ112" s="2">
        <f t="shared" ca="1" si="13"/>
        <v>4.7323291732291288</v>
      </c>
      <c r="CK112" s="2">
        <f ca="1">CG112/'1'!$H112</f>
        <v>0.27890648162812115</v>
      </c>
      <c r="CL112" s="2">
        <f t="shared" ca="1" si="14"/>
        <v>0.21875104100976128</v>
      </c>
      <c r="CM112" s="2">
        <f t="shared" ca="1" si="15"/>
        <v>0.53238004533543548</v>
      </c>
      <c r="CN112" s="2">
        <f ca="1">-$M112*LOG(CK112)</f>
        <v>0</v>
      </c>
      <c r="CO112" s="2">
        <f ca="1">-$N112*LOG(CL112)</f>
        <v>0</v>
      </c>
      <c r="CP112" s="2">
        <f ca="1">-$O112*LOG(CM112)</f>
        <v>0.27377823111456723</v>
      </c>
      <c r="CQ112" s="2">
        <f t="shared" ca="1" si="16"/>
        <v>0.27377823111456723</v>
      </c>
      <c r="CR112" s="2"/>
      <c r="CS112" s="2">
        <f ca="1">(CK112-'2'!Z112)*'2'!V112</f>
        <v>-3.359682204025446E-3</v>
      </c>
      <c r="CT112" s="2">
        <f>('1'!$I112-$M112)*'2'!W112</f>
        <v>1.388888888888889E-2</v>
      </c>
      <c r="CU112" s="2">
        <f>('1'!$I112-$M112)*'2'!X112</f>
        <v>2.8876333961079727E-2</v>
      </c>
      <c r="CV112" s="2">
        <f>('1'!$I112-$M112)*'2'!Y112</f>
        <v>2.623456790123458E-2</v>
      </c>
      <c r="CW112" s="2">
        <f>('1'!$I112-$M112)</f>
        <v>0.33333333333333337</v>
      </c>
      <c r="CX112" s="2">
        <f>('1'!$J112-$N112)*'2'!V112</f>
        <v>2.0576131687242802E-2</v>
      </c>
      <c r="CY112" s="2">
        <f>('1'!$J112-$N112)*'2'!W112</f>
        <v>1.388888888888889E-2</v>
      </c>
      <c r="CZ112" s="2">
        <f>('1'!$J112-$N112)*'2'!X112</f>
        <v>2.8876333961079727E-2</v>
      </c>
      <c r="DA112" s="2">
        <f>('1'!$J112-$N112)*'2'!Y112</f>
        <v>2.623456790123458E-2</v>
      </c>
      <c r="DB112" s="2">
        <f>('1'!$J112-$N112)</f>
        <v>0.33333333333333337</v>
      </c>
      <c r="DC112" s="2">
        <f>('1'!$K112-$O112)*'2'!V112</f>
        <v>-4.1152263374485597E-2</v>
      </c>
      <c r="DD112" s="2">
        <f>('1'!$K112-$O112)*'2'!W112</f>
        <v>-2.7777777777777776E-2</v>
      </c>
      <c r="DE112" s="2">
        <f>('1'!$K112-$O112)*'2'!X112</f>
        <v>-5.7752667922159447E-2</v>
      </c>
      <c r="DF112" s="2">
        <f>('1'!$K112-$O112)*'2'!Y112</f>
        <v>-5.2469135802469154E-2</v>
      </c>
      <c r="DG112" s="2">
        <f>('1'!$K112-$O112)</f>
        <v>-0.66666666666666663</v>
      </c>
    </row>
    <row r="113" spans="2:111" ht="15" x14ac:dyDescent="0.25">
      <c r="B113" s="1">
        <v>6.5</v>
      </c>
      <c r="C113" s="1">
        <v>3</v>
      </c>
      <c r="D113" s="1">
        <v>5.8</v>
      </c>
      <c r="E113" s="1">
        <v>2.2000000000000002</v>
      </c>
      <c r="F113" s="1" t="s">
        <v>7</v>
      </c>
      <c r="I113" s="2">
        <f>(B113-B$5)/(B$4-B$5)</f>
        <v>0.61111111111111105</v>
      </c>
      <c r="J113" s="2">
        <f>(C113-C$5)/(C$4-C$5)</f>
        <v>0.41666666666666663</v>
      </c>
      <c r="K113" s="2">
        <f>(D113-D$5)/(D$4-D$5)</f>
        <v>0.81355932203389825</v>
      </c>
      <c r="L113" s="2">
        <f>(E113-E$5)/(E$4-E$5)</f>
        <v>0.87500000000000011</v>
      </c>
      <c r="M113" s="3">
        <f>IF($F113=M$8,1,0)</f>
        <v>0</v>
      </c>
      <c r="N113" s="3">
        <f>IF($F113=N$8,1,0)</f>
        <v>0</v>
      </c>
      <c r="O113" s="3">
        <f>IF($F113=O$8,1,0)</f>
        <v>1</v>
      </c>
      <c r="CD113" s="2">
        <f ca="1">CD$2*$I113+CD$3*$J113+CD$4*$K113+CD$5*$L113+CD$6</f>
        <v>0.16631411060688328</v>
      </c>
      <c r="CE113" s="2">
        <f ca="1">CE$2*$I113+CE$3*$J113+CE$4*$K113+CE$5*$L113+CE$6</f>
        <v>2.3690573158410708E-2</v>
      </c>
      <c r="CF113" s="2">
        <f ca="1">CF$2*$I113+CF$3*$J113+CF$4*$K113+CF$5*$L113+CF$6</f>
        <v>1.0293420231720825</v>
      </c>
      <c r="CG113" s="2">
        <f t="shared" ca="1" si="12"/>
        <v>1.1809439905037289</v>
      </c>
      <c r="CH113" s="2">
        <f t="shared" ca="1" si="9"/>
        <v>1.0239734240029519</v>
      </c>
      <c r="CI113" s="2">
        <f t="shared" ca="1" si="10"/>
        <v>2.7992234044910385</v>
      </c>
      <c r="CJ113" s="2">
        <f t="shared" ca="1" si="13"/>
        <v>5.004140818997719</v>
      </c>
      <c r="CK113" s="2">
        <f ca="1">CG113/'1'!$H113</f>
        <v>0.27146233241332168</v>
      </c>
      <c r="CL113" s="2">
        <f t="shared" ca="1" si="14"/>
        <v>0.20462522159958796</v>
      </c>
      <c r="CM113" s="2">
        <f t="shared" ca="1" si="15"/>
        <v>0.5593814214548215</v>
      </c>
      <c r="CN113" s="2">
        <f ca="1">-$M113*LOG(CK113)</f>
        <v>0</v>
      </c>
      <c r="CO113" s="2">
        <f ca="1">-$N113*LOG(CL113)</f>
        <v>0</v>
      </c>
      <c r="CP113" s="2">
        <f ca="1">-$O113*LOG(CM113)</f>
        <v>0.25229196180010205</v>
      </c>
      <c r="CQ113" s="2">
        <f t="shared" ca="1" si="16"/>
        <v>0.25229196180010205</v>
      </c>
      <c r="CR113" s="2"/>
      <c r="CS113" s="2">
        <f ca="1">(CK113-'2'!Z113)*'2'!V113</f>
        <v>-4.2011173464205414E-3</v>
      </c>
      <c r="CT113" s="2">
        <f>('1'!$I113-$M113)*'2'!W113</f>
        <v>1.5432098765432094E-2</v>
      </c>
      <c r="CU113" s="2">
        <f>('1'!$I113-$M113)*'2'!X113</f>
        <v>3.0131826741996222E-2</v>
      </c>
      <c r="CV113" s="2">
        <f>('1'!$I113-$M113)*'2'!Y113</f>
        <v>3.2407407407407406E-2</v>
      </c>
      <c r="CW113" s="2">
        <f>('1'!$I113-$M113)</f>
        <v>0.33333333333333331</v>
      </c>
      <c r="CX113" s="2">
        <f>('1'!$J113-$N113)*'2'!V113</f>
        <v>2.2633744855967072E-2</v>
      </c>
      <c r="CY113" s="2">
        <f>('1'!$J113-$N113)*'2'!W113</f>
        <v>1.5432098765432094E-2</v>
      </c>
      <c r="CZ113" s="2">
        <f>('1'!$J113-$N113)*'2'!X113</f>
        <v>3.0131826741996222E-2</v>
      </c>
      <c r="DA113" s="2">
        <f>('1'!$J113-$N113)*'2'!Y113</f>
        <v>3.2407407407407406E-2</v>
      </c>
      <c r="DB113" s="2">
        <f>('1'!$J113-$N113)</f>
        <v>0.33333333333333331</v>
      </c>
      <c r="DC113" s="2">
        <f>('1'!$K113-$O113)*'2'!V113</f>
        <v>-4.5267489711934152E-2</v>
      </c>
      <c r="DD113" s="2">
        <f>('1'!$K113-$O113)*'2'!W113</f>
        <v>-3.0864197530864196E-2</v>
      </c>
      <c r="DE113" s="2">
        <f>('1'!$K113-$O113)*'2'!X113</f>
        <v>-6.0263653483992458E-2</v>
      </c>
      <c r="DF113" s="2">
        <f>('1'!$K113-$O113)*'2'!Y113</f>
        <v>-6.4814814814814825E-2</v>
      </c>
      <c r="DG113" s="2">
        <f>('1'!$K113-$O113)</f>
        <v>-0.66666666666666674</v>
      </c>
    </row>
    <row r="114" spans="2:111" ht="15" x14ac:dyDescent="0.25">
      <c r="B114" s="1">
        <v>7.6</v>
      </c>
      <c r="C114" s="1">
        <v>3</v>
      </c>
      <c r="D114" s="1">
        <v>6.6</v>
      </c>
      <c r="E114" s="1">
        <v>2.1</v>
      </c>
      <c r="F114" s="1" t="s">
        <v>7</v>
      </c>
      <c r="I114" s="2">
        <f>(B114-B$5)/(B$4-B$5)</f>
        <v>0.91666666666666652</v>
      </c>
      <c r="J114" s="2">
        <f>(C114-C$5)/(C$4-C$5)</f>
        <v>0.41666666666666663</v>
      </c>
      <c r="K114" s="2">
        <f>(D114-D$5)/(D$4-D$5)</f>
        <v>0.94915254237288127</v>
      </c>
      <c r="L114" s="2">
        <f>(E114-E$5)/(E$4-E$5)</f>
        <v>0.83333333333333337</v>
      </c>
      <c r="M114" s="3">
        <f>IF($F114=M$8,1,0)</f>
        <v>0</v>
      </c>
      <c r="N114" s="3">
        <f>IF($F114=N$8,1,0)</f>
        <v>0</v>
      </c>
      <c r="O114" s="3">
        <f>IF($F114=O$8,1,0)</f>
        <v>1</v>
      </c>
      <c r="CD114" s="2">
        <f ca="1">CD$2*$I114+CD$3*$J114+CD$4*$K114+CD$5*$L114+CD$6</f>
        <v>0.20226093972528325</v>
      </c>
      <c r="CE114" s="2">
        <f ca="1">CE$2*$I114+CE$3*$J114+CE$4*$K114+CE$5*$L114+CE$6</f>
        <v>1.6482779356702004E-2</v>
      </c>
      <c r="CF114" s="2">
        <f ca="1">CF$2*$I114+CF$3*$J114+CF$4*$K114+CF$5*$L114+CF$6</f>
        <v>1.1612345818579375</v>
      </c>
      <c r="CG114" s="2">
        <f t="shared" ca="1" si="12"/>
        <v>1.2241674003436316</v>
      </c>
      <c r="CH114" s="2">
        <f t="shared" ca="1" si="9"/>
        <v>1.0166193697957782</v>
      </c>
      <c r="CI114" s="2">
        <f t="shared" ca="1" si="10"/>
        <v>3.1938739419036257</v>
      </c>
      <c r="CJ114" s="2">
        <f t="shared" ca="1" si="13"/>
        <v>5.4346607120430352</v>
      </c>
      <c r="CK114" s="2">
        <f ca="1">CG114/'1'!$H114</f>
        <v>0.27037827827947347</v>
      </c>
      <c r="CL114" s="2">
        <f t="shared" ca="1" si="14"/>
        <v>0.18706215965662437</v>
      </c>
      <c r="CM114" s="2">
        <f t="shared" ca="1" si="15"/>
        <v>0.58768598650990345</v>
      </c>
      <c r="CN114" s="2">
        <f ca="1">-$M114*LOG(CK114)</f>
        <v>0</v>
      </c>
      <c r="CO114" s="2">
        <f ca="1">-$N114*LOG(CL114)</f>
        <v>0</v>
      </c>
      <c r="CP114" s="2">
        <f ca="1">-$O114*LOG(CM114)</f>
        <v>0.23085466500107046</v>
      </c>
      <c r="CQ114" s="2">
        <f t="shared" ca="1" si="16"/>
        <v>0.23085466500107046</v>
      </c>
      <c r="CR114" s="2"/>
      <c r="CS114" s="2">
        <f ca="1">(CK114-'2'!Z114)*'2'!V114</f>
        <v>-6.4120889406709082E-3</v>
      </c>
      <c r="CT114" s="2">
        <f>('1'!$I114-$M114)*'2'!W114</f>
        <v>1.5432098765432094E-2</v>
      </c>
      <c r="CU114" s="2">
        <f>('1'!$I114-$M114)*'2'!X114</f>
        <v>3.5153797865662265E-2</v>
      </c>
      <c r="CV114" s="2">
        <f>('1'!$I114-$M114)*'2'!Y114</f>
        <v>3.0864197530864196E-2</v>
      </c>
      <c r="CW114" s="2">
        <f>('1'!$I114-$M114)</f>
        <v>0.33333333333333331</v>
      </c>
      <c r="CX114" s="2">
        <f>('1'!$J114-$N114)*'2'!V114</f>
        <v>3.3950617283950602E-2</v>
      </c>
      <c r="CY114" s="2">
        <f>('1'!$J114-$N114)*'2'!W114</f>
        <v>1.5432098765432094E-2</v>
      </c>
      <c r="CZ114" s="2">
        <f>('1'!$J114-$N114)*'2'!X114</f>
        <v>3.5153797865662265E-2</v>
      </c>
      <c r="DA114" s="2">
        <f>('1'!$J114-$N114)*'2'!Y114</f>
        <v>3.0864197530864196E-2</v>
      </c>
      <c r="DB114" s="2">
        <f>('1'!$J114-$N114)</f>
        <v>0.33333333333333331</v>
      </c>
      <c r="DC114" s="2">
        <f>('1'!$K114-$O114)*'2'!V114</f>
        <v>-6.7901234567901217E-2</v>
      </c>
      <c r="DD114" s="2">
        <f>('1'!$K114-$O114)*'2'!W114</f>
        <v>-3.0864197530864196E-2</v>
      </c>
      <c r="DE114" s="2">
        <f>('1'!$K114-$O114)*'2'!X114</f>
        <v>-7.0307595731324543E-2</v>
      </c>
      <c r="DF114" s="2">
        <f>('1'!$K114-$O114)*'2'!Y114</f>
        <v>-6.1728395061728399E-2</v>
      </c>
      <c r="DG114" s="2">
        <f>('1'!$K114-$O114)</f>
        <v>-0.66666666666666674</v>
      </c>
    </row>
    <row r="115" spans="2:111" ht="15" x14ac:dyDescent="0.25">
      <c r="B115" s="1">
        <v>4.9000000000000004</v>
      </c>
      <c r="C115" s="1">
        <v>2.5</v>
      </c>
      <c r="D115" s="1">
        <v>4.5</v>
      </c>
      <c r="E115" s="1">
        <v>1.7</v>
      </c>
      <c r="F115" s="1" t="s">
        <v>7</v>
      </c>
      <c r="I115" s="2">
        <f>(B115-B$5)/(B$4-B$5)</f>
        <v>0.1666666666666668</v>
      </c>
      <c r="J115" s="2">
        <f>(C115-C$5)/(C$4-C$5)</f>
        <v>0.20833333333333331</v>
      </c>
      <c r="K115" s="2">
        <f>(D115-D$5)/(D$4-D$5)</f>
        <v>0.59322033898305082</v>
      </c>
      <c r="L115" s="2">
        <f>(E115-E$5)/(E$4-E$5)</f>
        <v>0.66666666666666663</v>
      </c>
      <c r="M115" s="3">
        <f>IF($F115=M$8,1,0)</f>
        <v>0</v>
      </c>
      <c r="N115" s="3">
        <f>IF($F115=N$8,1,0)</f>
        <v>0</v>
      </c>
      <c r="O115" s="3">
        <f>IF($F115=O$8,1,0)</f>
        <v>1</v>
      </c>
      <c r="CD115" s="2">
        <f ca="1">CD$2*$I115+CD$3*$J115+CD$4*$K115+CD$5*$L115+CD$6</f>
        <v>8.343466446215797E-2</v>
      </c>
      <c r="CE115" s="2">
        <f ca="1">CE$2*$I115+CE$3*$J115+CE$4*$K115+CE$5*$L115+CE$6</f>
        <v>6.1409717618880456E-2</v>
      </c>
      <c r="CF115" s="2">
        <f ca="1">CF$2*$I115+CF$3*$J115+CF$4*$K115+CF$5*$L115+CF$6</f>
        <v>0.6897661631708607</v>
      </c>
      <c r="CG115" s="2">
        <f t="shared" ca="1" si="12"/>
        <v>1.0870141923158436</v>
      </c>
      <c r="CH115" s="2">
        <f t="shared" ca="1" si="9"/>
        <v>1.0633344918252496</v>
      </c>
      <c r="CI115" s="2">
        <f t="shared" ca="1" si="10"/>
        <v>1.993249383628181</v>
      </c>
      <c r="CJ115" s="2">
        <f t="shared" ca="1" si="13"/>
        <v>4.1435980677692745</v>
      </c>
      <c r="CK115" s="2">
        <f ca="1">CG115/'1'!$H115</f>
        <v>0.27840835929456065</v>
      </c>
      <c r="CL115" s="2">
        <f t="shared" ca="1" si="14"/>
        <v>0.25662105118166079</v>
      </c>
      <c r="CM115" s="2">
        <f t="shared" ca="1" si="15"/>
        <v>0.48104312991468695</v>
      </c>
      <c r="CN115" s="2">
        <f ca="1">-$M115*LOG(CK115)</f>
        <v>0</v>
      </c>
      <c r="CO115" s="2">
        <f ca="1">-$N115*LOG(CL115)</f>
        <v>0</v>
      </c>
      <c r="CP115" s="2">
        <f ca="1">-$O115*LOG(CM115)</f>
        <v>0.31781598340949063</v>
      </c>
      <c r="CQ115" s="2">
        <f t="shared" ca="1" si="16"/>
        <v>0.31781598340949063</v>
      </c>
      <c r="CR115" s="2"/>
      <c r="CS115" s="2">
        <f ca="1">(CK115-'2'!Z115)*'2'!V115</f>
        <v>-1.0171291488661612E-3</v>
      </c>
      <c r="CT115" s="2">
        <f>('1'!$I115-$M115)*'2'!W115</f>
        <v>7.7160493827160472E-3</v>
      </c>
      <c r="CU115" s="2">
        <f>('1'!$I115-$M115)*'2'!X115</f>
        <v>2.1971123666038917E-2</v>
      </c>
      <c r="CV115" s="2">
        <f>('1'!$I115-$M115)*'2'!Y115</f>
        <v>2.4691358024691357E-2</v>
      </c>
      <c r="CW115" s="2">
        <f>('1'!$I115-$M115)</f>
        <v>0.33333333333333331</v>
      </c>
      <c r="CX115" s="2">
        <f>('1'!$J115-$N115)*'2'!V115</f>
        <v>6.1728395061728435E-3</v>
      </c>
      <c r="CY115" s="2">
        <f>('1'!$J115-$N115)*'2'!W115</f>
        <v>7.7160493827160472E-3</v>
      </c>
      <c r="CZ115" s="2">
        <f>('1'!$J115-$N115)*'2'!X115</f>
        <v>2.1971123666038917E-2</v>
      </c>
      <c r="DA115" s="2">
        <f>('1'!$J115-$N115)*'2'!Y115</f>
        <v>2.4691358024691357E-2</v>
      </c>
      <c r="DB115" s="2">
        <f>('1'!$J115-$N115)</f>
        <v>0.33333333333333331</v>
      </c>
      <c r="DC115" s="2">
        <f>('1'!$K115-$O115)*'2'!V115</f>
        <v>-1.2345679012345689E-2</v>
      </c>
      <c r="DD115" s="2">
        <f>('1'!$K115-$O115)*'2'!W115</f>
        <v>-1.5432098765432098E-2</v>
      </c>
      <c r="DE115" s="2">
        <f>('1'!$K115-$O115)*'2'!X115</f>
        <v>-4.3942247332077841E-2</v>
      </c>
      <c r="DF115" s="2">
        <f>('1'!$K115-$O115)*'2'!Y115</f>
        <v>-4.938271604938272E-2</v>
      </c>
      <c r="DG115" s="2">
        <f>('1'!$K115-$O115)</f>
        <v>-0.66666666666666674</v>
      </c>
    </row>
    <row r="116" spans="2:111" ht="15" x14ac:dyDescent="0.25">
      <c r="B116" s="1">
        <v>7.3</v>
      </c>
      <c r="C116" s="1">
        <v>2.9</v>
      </c>
      <c r="D116" s="1">
        <v>6.3</v>
      </c>
      <c r="E116" s="1">
        <v>1.8</v>
      </c>
      <c r="F116" s="1" t="s">
        <v>7</v>
      </c>
      <c r="I116" s="2">
        <f>(B116-B$5)/(B$4-B$5)</f>
        <v>0.83333333333333326</v>
      </c>
      <c r="J116" s="2">
        <f>(C116-C$5)/(C$4-C$5)</f>
        <v>0.37499999999999989</v>
      </c>
      <c r="K116" s="2">
        <f>(D116-D$5)/(D$4-D$5)</f>
        <v>0.89830508474576265</v>
      </c>
      <c r="L116" s="2">
        <f>(E116-E$5)/(E$4-E$5)</f>
        <v>0.70833333333333337</v>
      </c>
      <c r="M116" s="3">
        <f>IF($F116=M$8,1,0)</f>
        <v>0</v>
      </c>
      <c r="N116" s="3">
        <f>IF($F116=N$8,1,0)</f>
        <v>0</v>
      </c>
      <c r="O116" s="3">
        <f>IF($F116=O$8,1,0)</f>
        <v>1</v>
      </c>
      <c r="CD116" s="2">
        <f ca="1">CD$2*$I116+CD$3*$J116+CD$4*$K116+CD$5*$L116+CD$6</f>
        <v>0.19355164005134315</v>
      </c>
      <c r="CE116" s="2">
        <f ca="1">CE$2*$I116+CE$3*$J116+CE$4*$K116+CE$5*$L116+CE$6</f>
        <v>2.6651379607271986E-2</v>
      </c>
      <c r="CF116" s="2">
        <f ca="1">CF$2*$I116+CF$3*$J116+CF$4*$K116+CF$5*$L116+CF$6</f>
        <v>1.0578125406715495</v>
      </c>
      <c r="CG116" s="2">
        <f t="shared" ca="1" si="12"/>
        <v>1.2135520528237564</v>
      </c>
      <c r="CH116" s="2">
        <f t="shared" ca="1" si="9"/>
        <v>1.0270097038205377</v>
      </c>
      <c r="CI116" s="2">
        <f t="shared" ca="1" si="10"/>
        <v>2.880064070700914</v>
      </c>
      <c r="CJ116" s="2">
        <f t="shared" ca="1" si="13"/>
        <v>5.1206258273452079</v>
      </c>
      <c r="CK116" s="2">
        <f ca="1">CG116/'1'!$H116</f>
        <v>0.27621994629575081</v>
      </c>
      <c r="CL116" s="2">
        <f t="shared" ca="1" si="14"/>
        <v>0.2005633175414013</v>
      </c>
      <c r="CM116" s="2">
        <f t="shared" ca="1" si="15"/>
        <v>0.56244376523681383</v>
      </c>
      <c r="CN116" s="2">
        <f ca="1">-$M116*LOG(CK116)</f>
        <v>0</v>
      </c>
      <c r="CO116" s="2">
        <f ca="1">-$N116*LOG(CL116)</f>
        <v>0</v>
      </c>
      <c r="CP116" s="2">
        <f ca="1">-$O116*LOG(CM116)</f>
        <v>0.24992089307120588</v>
      </c>
      <c r="CQ116" s="2">
        <f t="shared" ca="1" si="16"/>
        <v>0.24992089307120588</v>
      </c>
      <c r="CR116" s="2"/>
      <c r="CS116" s="2">
        <f ca="1">(CK116-'2'!Z116)*'2'!V116</f>
        <v>-5.2882765775539419E-3</v>
      </c>
      <c r="CT116" s="2">
        <f>('1'!$I116-$M116)*'2'!W116</f>
        <v>1.388888888888889E-2</v>
      </c>
      <c r="CU116" s="2">
        <f>('1'!$I116-$M116)*'2'!X116</f>
        <v>3.3270558694287515E-2</v>
      </c>
      <c r="CV116" s="2">
        <f>('1'!$I116-$M116)*'2'!Y116</f>
        <v>2.623456790123458E-2</v>
      </c>
      <c r="CW116" s="2">
        <f>('1'!$I116-$M116)</f>
        <v>0.33333333333333337</v>
      </c>
      <c r="CX116" s="2">
        <f>('1'!$J116-$N116)*'2'!V116</f>
        <v>3.0864197530864203E-2</v>
      </c>
      <c r="CY116" s="2">
        <f>('1'!$J116-$N116)*'2'!W116</f>
        <v>1.388888888888889E-2</v>
      </c>
      <c r="CZ116" s="2">
        <f>('1'!$J116-$N116)*'2'!X116</f>
        <v>3.3270558694287515E-2</v>
      </c>
      <c r="DA116" s="2">
        <f>('1'!$J116-$N116)*'2'!Y116</f>
        <v>2.623456790123458E-2</v>
      </c>
      <c r="DB116" s="2">
        <f>('1'!$J116-$N116)</f>
        <v>0.33333333333333337</v>
      </c>
      <c r="DC116" s="2">
        <f>('1'!$K116-$O116)*'2'!V116</f>
        <v>-6.1728395061728399E-2</v>
      </c>
      <c r="DD116" s="2">
        <f>('1'!$K116-$O116)*'2'!W116</f>
        <v>-2.7777777777777776E-2</v>
      </c>
      <c r="DE116" s="2">
        <f>('1'!$K116-$O116)*'2'!X116</f>
        <v>-6.6541117388575016E-2</v>
      </c>
      <c r="DF116" s="2">
        <f>('1'!$K116-$O116)*'2'!Y116</f>
        <v>-5.2469135802469154E-2</v>
      </c>
      <c r="DG116" s="2">
        <f>('1'!$K116-$O116)</f>
        <v>-0.66666666666666663</v>
      </c>
    </row>
    <row r="117" spans="2:111" ht="15" x14ac:dyDescent="0.25">
      <c r="B117" s="1">
        <v>6.7</v>
      </c>
      <c r="C117" s="1">
        <v>2.5</v>
      </c>
      <c r="D117" s="1">
        <v>5.8</v>
      </c>
      <c r="E117" s="1">
        <v>1.8</v>
      </c>
      <c r="F117" s="1" t="s">
        <v>7</v>
      </c>
      <c r="I117" s="2">
        <f>(B117-B$5)/(B$4-B$5)</f>
        <v>0.66666666666666663</v>
      </c>
      <c r="J117" s="2">
        <f>(C117-C$5)/(C$4-C$5)</f>
        <v>0.20833333333333331</v>
      </c>
      <c r="K117" s="2">
        <f>(D117-D$5)/(D$4-D$5)</f>
        <v>0.81355932203389825</v>
      </c>
      <c r="L117" s="2">
        <f>(E117-E$5)/(E$4-E$5)</f>
        <v>0.70833333333333337</v>
      </c>
      <c r="M117" s="3">
        <f>IF($F117=M$8,1,0)</f>
        <v>0</v>
      </c>
      <c r="N117" s="3">
        <f>IF($F117=N$8,1,0)</f>
        <v>0</v>
      </c>
      <c r="O117" s="3">
        <f>IF($F117=O$8,1,0)</f>
        <v>1</v>
      </c>
      <c r="CD117" s="2">
        <f ca="1">CD$2*$I117+CD$3*$J117+CD$4*$K117+CD$5*$L117+CD$6</f>
        <v>0.13358720005593203</v>
      </c>
      <c r="CE117" s="2">
        <f ca="1">CE$2*$I117+CE$3*$J117+CE$4*$K117+CE$5*$L117+CE$6</f>
        <v>4.5748575393211435E-2</v>
      </c>
      <c r="CF117" s="2">
        <f ca="1">CF$2*$I117+CF$3*$J117+CF$4*$K117+CF$5*$L117+CF$6</f>
        <v>0.95055378862813789</v>
      </c>
      <c r="CG117" s="2">
        <f t="shared" ca="1" si="12"/>
        <v>1.1429209245584835</v>
      </c>
      <c r="CH117" s="2">
        <f t="shared" ca="1" si="9"/>
        <v>1.0468111837771656</v>
      </c>
      <c r="CI117" s="2">
        <f t="shared" ca="1" si="10"/>
        <v>2.5871419924891472</v>
      </c>
      <c r="CJ117" s="2">
        <f t="shared" ca="1" si="13"/>
        <v>4.7768741008247968</v>
      </c>
      <c r="CK117" s="2">
        <f ca="1">CG117/'1'!$H117</f>
        <v>0.27125000541918631</v>
      </c>
      <c r="CL117" s="2">
        <f t="shared" ca="1" si="14"/>
        <v>0.21914146399554857</v>
      </c>
      <c r="CM117" s="2">
        <f t="shared" ca="1" si="15"/>
        <v>0.54159727425984272</v>
      </c>
      <c r="CN117" s="2">
        <f ca="1">-$M117*LOG(CK117)</f>
        <v>0</v>
      </c>
      <c r="CO117" s="2">
        <f ca="1">-$N117*LOG(CL117)</f>
        <v>0</v>
      </c>
      <c r="CP117" s="2">
        <f ca="1">-$O117*LOG(CM117)</f>
        <v>0.26632353002617692</v>
      </c>
      <c r="CQ117" s="2">
        <f t="shared" ca="1" si="16"/>
        <v>0.26632353002617692</v>
      </c>
      <c r="CR117" s="2"/>
      <c r="CS117" s="2">
        <f ca="1">(CK117-'2'!Z117)*'2'!V117</f>
        <v>-4.5987650306775554E-3</v>
      </c>
      <c r="CT117" s="2">
        <f>('1'!$I117-$M117)*'2'!W117</f>
        <v>7.7160493827160472E-3</v>
      </c>
      <c r="CU117" s="2">
        <f>('1'!$I117-$M117)*'2'!X117</f>
        <v>3.0131826741996222E-2</v>
      </c>
      <c r="CV117" s="2">
        <f>('1'!$I117-$M117)*'2'!Y117</f>
        <v>2.6234567901234563E-2</v>
      </c>
      <c r="CW117" s="2">
        <f>('1'!$I117-$M117)</f>
        <v>0.33333333333333331</v>
      </c>
      <c r="CX117" s="2">
        <f>('1'!$J117-$N117)*'2'!V117</f>
        <v>2.4691358024691357E-2</v>
      </c>
      <c r="CY117" s="2">
        <f>('1'!$J117-$N117)*'2'!W117</f>
        <v>7.7160493827160472E-3</v>
      </c>
      <c r="CZ117" s="2">
        <f>('1'!$J117-$N117)*'2'!X117</f>
        <v>3.0131826741996222E-2</v>
      </c>
      <c r="DA117" s="2">
        <f>('1'!$J117-$N117)*'2'!Y117</f>
        <v>2.6234567901234563E-2</v>
      </c>
      <c r="DB117" s="2">
        <f>('1'!$J117-$N117)</f>
        <v>0.33333333333333331</v>
      </c>
      <c r="DC117" s="2">
        <f>('1'!$K117-$O117)*'2'!V117</f>
        <v>-4.938271604938272E-2</v>
      </c>
      <c r="DD117" s="2">
        <f>('1'!$K117-$O117)*'2'!W117</f>
        <v>-1.5432098765432098E-2</v>
      </c>
      <c r="DE117" s="2">
        <f>('1'!$K117-$O117)*'2'!X117</f>
        <v>-6.0263653483992458E-2</v>
      </c>
      <c r="DF117" s="2">
        <f>('1'!$K117-$O117)*'2'!Y117</f>
        <v>-5.2469135802469133E-2</v>
      </c>
      <c r="DG117" s="2">
        <f>('1'!$K117-$O117)</f>
        <v>-0.66666666666666674</v>
      </c>
    </row>
    <row r="118" spans="2:111" ht="15" x14ac:dyDescent="0.25">
      <c r="B118" s="1">
        <v>7.2</v>
      </c>
      <c r="C118" s="1">
        <v>3.6</v>
      </c>
      <c r="D118" s="1">
        <v>6.1</v>
      </c>
      <c r="E118" s="1">
        <v>2.5</v>
      </c>
      <c r="F118" s="1" t="s">
        <v>7</v>
      </c>
      <c r="I118" s="2">
        <f>(B118-B$5)/(B$4-B$5)</f>
        <v>0.80555555555555558</v>
      </c>
      <c r="J118" s="2">
        <f>(C118-C$5)/(C$4-C$5)</f>
        <v>0.66666666666666663</v>
      </c>
      <c r="K118" s="2">
        <f>(D118-D$5)/(D$4-D$5)</f>
        <v>0.86440677966101687</v>
      </c>
      <c r="L118" s="2">
        <f>(E118-E$5)/(E$4-E$5)</f>
        <v>1</v>
      </c>
      <c r="M118" s="3">
        <f>IF($F118=M$8,1,0)</f>
        <v>0</v>
      </c>
      <c r="N118" s="3">
        <f>IF($F118=N$8,1,0)</f>
        <v>0</v>
      </c>
      <c r="O118" s="3">
        <f>IF($F118=O$8,1,0)</f>
        <v>1</v>
      </c>
      <c r="CD118" s="2">
        <f ca="1">CD$2*$I118+CD$3*$J118+CD$4*$K118+CD$5*$L118+CD$6</f>
        <v>0.24380021067348695</v>
      </c>
      <c r="CE118" s="2">
        <f ca="1">CE$2*$I118+CE$3*$J118+CE$4*$K118+CE$5*$L118+CE$6</f>
        <v>-8.5021582074328583E-3</v>
      </c>
      <c r="CF118" s="2">
        <f ca="1">CF$2*$I118+CF$3*$J118+CF$4*$K118+CF$5*$L118+CF$6</f>
        <v>1.1945971093608903</v>
      </c>
      <c r="CG118" s="2">
        <f t="shared" ca="1" si="12"/>
        <v>1.2760893559867077</v>
      </c>
      <c r="CH118" s="2">
        <f t="shared" ca="1" si="9"/>
        <v>0.99153388292486144</v>
      </c>
      <c r="CI118" s="2">
        <f t="shared" ca="1" si="10"/>
        <v>3.3022270660823549</v>
      </c>
      <c r="CJ118" s="2">
        <f t="shared" ca="1" si="13"/>
        <v>5.5698503049939241</v>
      </c>
      <c r="CK118" s="2">
        <f ca="1">CG118/'1'!$H118</f>
        <v>0.27569089729980828</v>
      </c>
      <c r="CL118" s="2">
        <f t="shared" ca="1" si="14"/>
        <v>0.1780180487141374</v>
      </c>
      <c r="CM118" s="2">
        <f t="shared" ca="1" si="15"/>
        <v>0.59287537101698773</v>
      </c>
      <c r="CN118" s="2">
        <f ca="1">-$M118*LOG(CK118)</f>
        <v>0</v>
      </c>
      <c r="CO118" s="2">
        <f ca="1">-$N118*LOG(CL118)</f>
        <v>0</v>
      </c>
      <c r="CP118" s="2">
        <f ca="1">-$O118*LOG(CM118)</f>
        <v>0.22703659056173764</v>
      </c>
      <c r="CQ118" s="2">
        <f t="shared" ca="1" si="16"/>
        <v>0.22703659056173764</v>
      </c>
      <c r="CR118" s="2"/>
      <c r="CS118" s="2">
        <f ca="1">(CK118-'2'!Z118)*'2'!V118</f>
        <v>-5.159353842506877E-3</v>
      </c>
      <c r="CT118" s="2">
        <f>('1'!$I118-$M118)*'2'!W118</f>
        <v>2.4691358024691364E-2</v>
      </c>
      <c r="CU118" s="2">
        <f>('1'!$I118-$M118)*'2'!X118</f>
        <v>3.2015065913371006E-2</v>
      </c>
      <c r="CV118" s="2">
        <f>('1'!$I118-$M118)*'2'!Y118</f>
        <v>3.7037037037037049E-2</v>
      </c>
      <c r="CW118" s="2">
        <f>('1'!$I118-$M118)</f>
        <v>0.33333333333333337</v>
      </c>
      <c r="CX118" s="2">
        <f>('1'!$J118-$N118)*'2'!V118</f>
        <v>2.9835390946502068E-2</v>
      </c>
      <c r="CY118" s="2">
        <f>('1'!$J118-$N118)*'2'!W118</f>
        <v>2.4691358024691364E-2</v>
      </c>
      <c r="CZ118" s="2">
        <f>('1'!$J118-$N118)*'2'!X118</f>
        <v>3.2015065913371006E-2</v>
      </c>
      <c r="DA118" s="2">
        <f>('1'!$J118-$N118)*'2'!Y118</f>
        <v>3.7037037037037049E-2</v>
      </c>
      <c r="DB118" s="2">
        <f>('1'!$J118-$N118)</f>
        <v>0.33333333333333337</v>
      </c>
      <c r="DC118" s="2">
        <f>('1'!$K118-$O118)*'2'!V118</f>
        <v>-5.9670781893004128E-2</v>
      </c>
      <c r="DD118" s="2">
        <f>('1'!$K118-$O118)*'2'!W118</f>
        <v>-4.938271604938272E-2</v>
      </c>
      <c r="DE118" s="2">
        <f>('1'!$K118-$O118)*'2'!X118</f>
        <v>-6.4030131826741998E-2</v>
      </c>
      <c r="DF118" s="2">
        <f>('1'!$K118-$O118)*'2'!Y118</f>
        <v>-7.4074074074074084E-2</v>
      </c>
      <c r="DG118" s="2">
        <f>('1'!$K118-$O118)</f>
        <v>-0.66666666666666663</v>
      </c>
    </row>
    <row r="119" spans="2:111" ht="15" x14ac:dyDescent="0.25">
      <c r="B119" s="1">
        <v>6.5</v>
      </c>
      <c r="C119" s="1">
        <v>3.2</v>
      </c>
      <c r="D119" s="1">
        <v>5.0999999999999996</v>
      </c>
      <c r="E119" s="1">
        <v>2</v>
      </c>
      <c r="F119" s="1" t="s">
        <v>7</v>
      </c>
      <c r="I119" s="2">
        <f>(B119-B$5)/(B$4-B$5)</f>
        <v>0.61111111111111105</v>
      </c>
      <c r="J119" s="2">
        <f>(C119-C$5)/(C$4-C$5)</f>
        <v>0.5</v>
      </c>
      <c r="K119" s="2">
        <f>(D119-D$5)/(D$4-D$5)</f>
        <v>0.69491525423728806</v>
      </c>
      <c r="L119" s="2">
        <f>(E119-E$5)/(E$4-E$5)</f>
        <v>0.79166666666666663</v>
      </c>
      <c r="M119" s="3">
        <f>IF($F119=M$8,1,0)</f>
        <v>0</v>
      </c>
      <c r="N119" s="3">
        <f>IF($F119=N$8,1,0)</f>
        <v>0</v>
      </c>
      <c r="O119" s="3">
        <f>IF($F119=O$8,1,0)</f>
        <v>1</v>
      </c>
      <c r="CD119" s="2">
        <f ca="1">CD$2*$I119+CD$3*$J119+CD$4*$K119+CD$5*$L119+CD$6</f>
        <v>0.20235240902460058</v>
      </c>
      <c r="CE119" s="2">
        <f ca="1">CE$2*$I119+CE$3*$J119+CE$4*$K119+CE$5*$L119+CE$6</f>
        <v>1.7624097264929722E-2</v>
      </c>
      <c r="CF119" s="2">
        <f ca="1">CF$2*$I119+CF$3*$J119+CF$4*$K119+CF$5*$L119+CF$6</f>
        <v>0.95877380588140948</v>
      </c>
      <c r="CG119" s="2">
        <f t="shared" ca="1" si="12"/>
        <v>1.2242793791992237</v>
      </c>
      <c r="CH119" s="2">
        <f t="shared" ca="1" si="9"/>
        <v>1.0177803180678824</v>
      </c>
      <c r="CI119" s="2">
        <f t="shared" ca="1" si="10"/>
        <v>2.6084959891763506</v>
      </c>
      <c r="CJ119" s="2">
        <f t="shared" ca="1" si="13"/>
        <v>4.8505556864434567</v>
      </c>
      <c r="CK119" s="2">
        <f ca="1">CG119/'1'!$H119</f>
        <v>0.28478260397879024</v>
      </c>
      <c r="CL119" s="2">
        <f t="shared" ca="1" si="14"/>
        <v>0.20982757107859187</v>
      </c>
      <c r="CM119" s="2">
        <f t="shared" ca="1" si="15"/>
        <v>0.53777260953145811</v>
      </c>
      <c r="CN119" s="2">
        <f ca="1">-$M119*LOG(CK119)</f>
        <v>0</v>
      </c>
      <c r="CO119" s="2">
        <f ca="1">-$N119*LOG(CL119)</f>
        <v>0</v>
      </c>
      <c r="CP119" s="2">
        <f ca="1">-$O119*LOG(CM119)</f>
        <v>0.26940132154796803</v>
      </c>
      <c r="CQ119" s="2">
        <f t="shared" ca="1" si="16"/>
        <v>0.26940132154796803</v>
      </c>
      <c r="CR119" s="2"/>
      <c r="CS119" s="2">
        <f ca="1">(CK119-'2'!Z119)*'2'!V119</f>
        <v>-3.2966544623455165E-3</v>
      </c>
      <c r="CT119" s="2">
        <f>('1'!$I119-$M119)*'2'!W119</f>
        <v>1.8518518518518517E-2</v>
      </c>
      <c r="CU119" s="2">
        <f>('1'!$I119-$M119)*'2'!X119</f>
        <v>2.5737602008788444E-2</v>
      </c>
      <c r="CV119" s="2">
        <f>('1'!$I119-$M119)*'2'!Y119</f>
        <v>2.9320987654320979E-2</v>
      </c>
      <c r="CW119" s="2">
        <f>('1'!$I119-$M119)</f>
        <v>0.33333333333333331</v>
      </c>
      <c r="CX119" s="2">
        <f>('1'!$J119-$N119)*'2'!V119</f>
        <v>2.2633744855967072E-2</v>
      </c>
      <c r="CY119" s="2">
        <f>('1'!$J119-$N119)*'2'!W119</f>
        <v>1.8518518518518517E-2</v>
      </c>
      <c r="CZ119" s="2">
        <f>('1'!$J119-$N119)*'2'!X119</f>
        <v>2.5737602008788444E-2</v>
      </c>
      <c r="DA119" s="2">
        <f>('1'!$J119-$N119)*'2'!Y119</f>
        <v>2.9320987654320979E-2</v>
      </c>
      <c r="DB119" s="2">
        <f>('1'!$J119-$N119)</f>
        <v>0.33333333333333331</v>
      </c>
      <c r="DC119" s="2">
        <f>('1'!$K119-$O119)*'2'!V119</f>
        <v>-4.5267489711934152E-2</v>
      </c>
      <c r="DD119" s="2">
        <f>('1'!$K119-$O119)*'2'!W119</f>
        <v>-3.7037037037037042E-2</v>
      </c>
      <c r="DE119" s="2">
        <f>('1'!$K119-$O119)*'2'!X119</f>
        <v>-5.1475204017576895E-2</v>
      </c>
      <c r="DF119" s="2">
        <f>('1'!$K119-$O119)*'2'!Y119</f>
        <v>-5.8641975308641965E-2</v>
      </c>
      <c r="DG119" s="2">
        <f>('1'!$K119-$O119)</f>
        <v>-0.66666666666666674</v>
      </c>
    </row>
    <row r="120" spans="2:111" ht="15" x14ac:dyDescent="0.25">
      <c r="B120" s="1">
        <v>6.4</v>
      </c>
      <c r="C120" s="1">
        <v>2.7</v>
      </c>
      <c r="D120" s="1">
        <v>5.3</v>
      </c>
      <c r="E120" s="1">
        <v>1.9</v>
      </c>
      <c r="F120" s="1" t="s">
        <v>7</v>
      </c>
      <c r="I120" s="2">
        <f>(B120-B$5)/(B$4-B$5)</f>
        <v>0.58333333333333337</v>
      </c>
      <c r="J120" s="2">
        <f>(C120-C$5)/(C$4-C$5)</f>
        <v>0.29166666666666669</v>
      </c>
      <c r="K120" s="2">
        <f>(D120-D$5)/(D$4-D$5)</f>
        <v>0.72881355932203384</v>
      </c>
      <c r="L120" s="2">
        <f>(E120-E$5)/(E$4-E$5)</f>
        <v>0.75</v>
      </c>
      <c r="M120" s="3">
        <f>IF($F120=M$8,1,0)</f>
        <v>0</v>
      </c>
      <c r="N120" s="3">
        <f>IF($F120=N$8,1,0)</f>
        <v>0</v>
      </c>
      <c r="O120" s="3">
        <f>IF($F120=O$8,1,0)</f>
        <v>1</v>
      </c>
      <c r="CD120" s="2">
        <f ca="1">CD$2*$I120+CD$3*$J120+CD$4*$K120+CD$5*$L120+CD$6</f>
        <v>0.14600546258316624</v>
      </c>
      <c r="CE120" s="2">
        <f ca="1">CE$2*$I120+CE$3*$J120+CE$4*$K120+CE$5*$L120+CE$6</f>
        <v>3.8698284476377284E-2</v>
      </c>
      <c r="CF120" s="2">
        <f ca="1">CF$2*$I120+CF$3*$J120+CF$4*$K120+CF$5*$L120+CF$6</f>
        <v>0.91912410647471166</v>
      </c>
      <c r="CG120" s="2">
        <f t="shared" ca="1" si="12"/>
        <v>1.1572025093484783</v>
      </c>
      <c r="CH120" s="2">
        <f t="shared" ca="1" si="9"/>
        <v>1.0394568160758035</v>
      </c>
      <c r="CI120" s="2">
        <f t="shared" ca="1" si="10"/>
        <v>2.5070934810002945</v>
      </c>
      <c r="CJ120" s="2">
        <f t="shared" ca="1" si="13"/>
        <v>4.7037528064245766</v>
      </c>
      <c r="CK120" s="2">
        <f ca="1">CG120/'1'!$H120</f>
        <v>0.27582513524216662</v>
      </c>
      <c r="CL120" s="2">
        <f t="shared" ca="1" si="14"/>
        <v>0.22098457526425946</v>
      </c>
      <c r="CM120" s="2">
        <f t="shared" ca="1" si="15"/>
        <v>0.53299856182408323</v>
      </c>
      <c r="CN120" s="2">
        <f ca="1">-$M120*LOG(CK120)</f>
        <v>0</v>
      </c>
      <c r="CO120" s="2">
        <f ca="1">-$N120*LOG(CL120)</f>
        <v>0</v>
      </c>
      <c r="CP120" s="2">
        <f ca="1">-$O120*LOG(CM120)</f>
        <v>0.27327396281715627</v>
      </c>
      <c r="CQ120" s="2">
        <f t="shared" ca="1" si="16"/>
        <v>0.27327396281715627</v>
      </c>
      <c r="CR120" s="2"/>
      <c r="CS120" s="2">
        <f ca="1">(CK120-'2'!Z120)*'2'!V120</f>
        <v>-3.7273832096126561E-3</v>
      </c>
      <c r="CT120" s="2">
        <f>('1'!$I120-$M120)*'2'!W120</f>
        <v>1.0802469135802469E-2</v>
      </c>
      <c r="CU120" s="2">
        <f>('1'!$I120-$M120)*'2'!X120</f>
        <v>2.6993094789704953E-2</v>
      </c>
      <c r="CV120" s="2">
        <f>('1'!$I120-$M120)*'2'!Y120</f>
        <v>2.7777777777777776E-2</v>
      </c>
      <c r="CW120" s="2">
        <f>('1'!$I120-$M120)</f>
        <v>0.33333333333333331</v>
      </c>
      <c r="CX120" s="2">
        <f>('1'!$J120-$N120)*'2'!V120</f>
        <v>2.1604938271604937E-2</v>
      </c>
      <c r="CY120" s="2">
        <f>('1'!$J120-$N120)*'2'!W120</f>
        <v>1.0802469135802469E-2</v>
      </c>
      <c r="CZ120" s="2">
        <f>('1'!$J120-$N120)*'2'!X120</f>
        <v>2.6993094789704953E-2</v>
      </c>
      <c r="DA120" s="2">
        <f>('1'!$J120-$N120)*'2'!Y120</f>
        <v>2.7777777777777776E-2</v>
      </c>
      <c r="DB120" s="2">
        <f>('1'!$J120-$N120)</f>
        <v>0.33333333333333331</v>
      </c>
      <c r="DC120" s="2">
        <f>('1'!$K120-$O120)*'2'!V120</f>
        <v>-4.3209876543209881E-2</v>
      </c>
      <c r="DD120" s="2">
        <f>('1'!$K120-$O120)*'2'!W120</f>
        <v>-2.1604938271604941E-2</v>
      </c>
      <c r="DE120" s="2">
        <f>('1'!$K120-$O120)*'2'!X120</f>
        <v>-5.3986189579409913E-2</v>
      </c>
      <c r="DF120" s="2">
        <f>('1'!$K120-$O120)*'2'!Y120</f>
        <v>-5.5555555555555559E-2</v>
      </c>
      <c r="DG120" s="2">
        <f>('1'!$K120-$O120)</f>
        <v>-0.66666666666666674</v>
      </c>
    </row>
    <row r="121" spans="2:111" ht="15" x14ac:dyDescent="0.25">
      <c r="B121" s="1">
        <v>6.8</v>
      </c>
      <c r="C121" s="1">
        <v>3</v>
      </c>
      <c r="D121" s="1">
        <v>5.5</v>
      </c>
      <c r="E121" s="1">
        <v>2.1</v>
      </c>
      <c r="F121" s="1" t="s">
        <v>7</v>
      </c>
      <c r="I121" s="2">
        <f>(B121-B$5)/(B$4-B$5)</f>
        <v>0.69444444444444431</v>
      </c>
      <c r="J121" s="2">
        <f>(C121-C$5)/(C$4-C$5)</f>
        <v>0.41666666666666663</v>
      </c>
      <c r="K121" s="2">
        <f>(D121-D$5)/(D$4-D$5)</f>
        <v>0.76271186440677963</v>
      </c>
      <c r="L121" s="2">
        <f>(E121-E$5)/(E$4-E$5)</f>
        <v>0.83333333333333337</v>
      </c>
      <c r="M121" s="3">
        <f>IF($F121=M$8,1,0)</f>
        <v>0</v>
      </c>
      <c r="N121" s="3">
        <f>IF($F121=N$8,1,0)</f>
        <v>0</v>
      </c>
      <c r="O121" s="3">
        <f>IF($F121=O$8,1,0)</f>
        <v>1</v>
      </c>
      <c r="CD121" s="2">
        <f ca="1">CD$2*$I121+CD$3*$J121+CD$4*$K121+CD$5*$L121+CD$6</f>
        <v>0.18441282943264609</v>
      </c>
      <c r="CE121" s="2">
        <f ca="1">CE$2*$I121+CE$3*$J121+CE$4*$K121+CE$5*$L121+CE$6</f>
        <v>2.1512428270897874E-2</v>
      </c>
      <c r="CF121" s="2">
        <f ca="1">CF$2*$I121+CF$3*$J121+CF$4*$K121+CF$5*$L121+CF$6</f>
        <v>1.0180872800437881</v>
      </c>
      <c r="CG121" s="2">
        <f t="shared" ca="1" si="12"/>
        <v>1.2025121530493392</v>
      </c>
      <c r="CH121" s="2">
        <f t="shared" ca="1" si="9"/>
        <v>1.0217454887881954</v>
      </c>
      <c r="CI121" s="2">
        <f t="shared" ca="1" si="10"/>
        <v>2.767895488627262</v>
      </c>
      <c r="CJ121" s="2">
        <f t="shared" ca="1" si="13"/>
        <v>4.9921531304647964</v>
      </c>
      <c r="CK121" s="2">
        <f ca="1">CG121/'1'!$H121</f>
        <v>0.27667407499697977</v>
      </c>
      <c r="CL121" s="2">
        <f t="shared" ca="1" si="14"/>
        <v>0.20467030198912695</v>
      </c>
      <c r="CM121" s="2">
        <f t="shared" ca="1" si="15"/>
        <v>0.55444923588903527</v>
      </c>
      <c r="CN121" s="2">
        <f ca="1">-$M121*LOG(CK121)</f>
        <v>0</v>
      </c>
      <c r="CO121" s="2">
        <f ca="1">-$N121*LOG(CL121)</f>
        <v>0</v>
      </c>
      <c r="CP121" s="2">
        <f ca="1">-$O121*LOG(CM121)</f>
        <v>0.25613821070960374</v>
      </c>
      <c r="CQ121" s="2">
        <f t="shared" ca="1" si="16"/>
        <v>0.25613821070960374</v>
      </c>
      <c r="CR121" s="2"/>
      <c r="CS121" s="2">
        <f ca="1">(CK121-'2'!Z121)*'2'!V121</f>
        <v>-4.3718563531136984E-3</v>
      </c>
      <c r="CT121" s="2">
        <f>('1'!$I121-$M121)*'2'!W121</f>
        <v>1.5432098765432094E-2</v>
      </c>
      <c r="CU121" s="2">
        <f>('1'!$I121-$M121)*'2'!X121</f>
        <v>2.8248587570621465E-2</v>
      </c>
      <c r="CV121" s="2">
        <f>('1'!$I121-$M121)*'2'!Y121</f>
        <v>3.0864197530864196E-2</v>
      </c>
      <c r="CW121" s="2">
        <f>('1'!$I121-$M121)</f>
        <v>0.33333333333333331</v>
      </c>
      <c r="CX121" s="2">
        <f>('1'!$J121-$N121)*'2'!V121</f>
        <v>2.5720164609053492E-2</v>
      </c>
      <c r="CY121" s="2">
        <f>('1'!$J121-$N121)*'2'!W121</f>
        <v>1.5432098765432094E-2</v>
      </c>
      <c r="CZ121" s="2">
        <f>('1'!$J121-$N121)*'2'!X121</f>
        <v>2.8248587570621465E-2</v>
      </c>
      <c r="DA121" s="2">
        <f>('1'!$J121-$N121)*'2'!Y121</f>
        <v>3.0864197530864196E-2</v>
      </c>
      <c r="DB121" s="2">
        <f>('1'!$J121-$N121)</f>
        <v>0.33333333333333331</v>
      </c>
      <c r="DC121" s="2">
        <f>('1'!$K121-$O121)*'2'!V121</f>
        <v>-5.1440329218106991E-2</v>
      </c>
      <c r="DD121" s="2">
        <f>('1'!$K121-$O121)*'2'!W121</f>
        <v>-3.0864197530864196E-2</v>
      </c>
      <c r="DE121" s="2">
        <f>('1'!$K121-$O121)*'2'!X121</f>
        <v>-5.6497175141242945E-2</v>
      </c>
      <c r="DF121" s="2">
        <f>('1'!$K121-$O121)*'2'!Y121</f>
        <v>-6.1728395061728399E-2</v>
      </c>
      <c r="DG121" s="2">
        <f>('1'!$K121-$O121)</f>
        <v>-0.66666666666666674</v>
      </c>
    </row>
    <row r="122" spans="2:111" ht="15" x14ac:dyDescent="0.25">
      <c r="B122" s="1">
        <v>5.7</v>
      </c>
      <c r="C122" s="1">
        <v>2.5</v>
      </c>
      <c r="D122" s="1">
        <v>5</v>
      </c>
      <c r="E122" s="1">
        <v>2</v>
      </c>
      <c r="F122" s="1" t="s">
        <v>7</v>
      </c>
      <c r="I122" s="2">
        <f>(B122-B$5)/(B$4-B$5)</f>
        <v>0.38888888888888895</v>
      </c>
      <c r="J122" s="2">
        <f>(C122-C$5)/(C$4-C$5)</f>
        <v>0.20833333333333331</v>
      </c>
      <c r="K122" s="2">
        <f>(D122-D$5)/(D$4-D$5)</f>
        <v>0.67796610169491522</v>
      </c>
      <c r="L122" s="2">
        <f>(E122-E$5)/(E$4-E$5)</f>
        <v>0.79166666666666663</v>
      </c>
      <c r="M122" s="3">
        <f>IF($F122=M$8,1,0)</f>
        <v>0</v>
      </c>
      <c r="N122" s="3">
        <f>IF($F122=N$8,1,0)</f>
        <v>0</v>
      </c>
      <c r="O122" s="3">
        <f>IF($F122=O$8,1,0)</f>
        <v>1</v>
      </c>
      <c r="CD122" s="2">
        <f ca="1">CD$2*$I122+CD$3*$J122+CD$4*$K122+CD$5*$L122+CD$6</f>
        <v>9.8102777544794947E-2</v>
      </c>
      <c r="CE122" s="2">
        <f ca="1">CE$2*$I122+CE$3*$J122+CE$4*$K122+CE$5*$L122+CE$6</f>
        <v>5.053174795306746E-2</v>
      </c>
      <c r="CF122" s="2">
        <f ca="1">CF$2*$I122+CF$3*$J122+CF$4*$K122+CF$5*$L122+CF$6</f>
        <v>0.84464487314682468</v>
      </c>
      <c r="CG122" s="2">
        <f t="shared" ca="1" si="12"/>
        <v>1.1030761507411824</v>
      </c>
      <c r="CH122" s="2">
        <f t="shared" ca="1" si="9"/>
        <v>1.0518302562825335</v>
      </c>
      <c r="CI122" s="2">
        <f t="shared" ca="1" si="10"/>
        <v>2.3271512339138654</v>
      </c>
      <c r="CJ122" s="2">
        <f t="shared" ca="1" si="13"/>
        <v>4.4820576409375814</v>
      </c>
      <c r="CK122" s="2">
        <f ca="1">CG122/'1'!$H122</f>
        <v>0.2705779613565541</v>
      </c>
      <c r="CL122" s="2">
        <f t="shared" ca="1" si="14"/>
        <v>0.2346757539830536</v>
      </c>
      <c r="CM122" s="2">
        <f t="shared" ca="1" si="15"/>
        <v>0.51921492768376332</v>
      </c>
      <c r="CN122" s="2">
        <f ca="1">-$M122*LOG(CK122)</f>
        <v>0</v>
      </c>
      <c r="CO122" s="2">
        <f ca="1">-$N122*LOG(CL122)</f>
        <v>0</v>
      </c>
      <c r="CP122" s="2">
        <f ca="1">-$O122*LOG(CM122)</f>
        <v>0.28465282984888474</v>
      </c>
      <c r="CQ122" s="2">
        <f t="shared" ca="1" si="16"/>
        <v>0.28465282984888474</v>
      </c>
      <c r="CR122" s="2"/>
      <c r="CS122" s="2">
        <f ca="1">(CK122-'2'!Z122)*'2'!V122</f>
        <v>-2.7116518755398462E-3</v>
      </c>
      <c r="CT122" s="2">
        <f>('1'!$I122-$M122)*'2'!W122</f>
        <v>7.7160493827160507E-3</v>
      </c>
      <c r="CU122" s="2">
        <f>('1'!$I122-$M122)*'2'!X122</f>
        <v>2.5109855618330203E-2</v>
      </c>
      <c r="CV122" s="2">
        <f>('1'!$I122-$M122)*'2'!Y122</f>
        <v>2.9320987654320996E-2</v>
      </c>
      <c r="CW122" s="2">
        <f>('1'!$I122-$M122)</f>
        <v>0.33333333333333337</v>
      </c>
      <c r="CX122" s="2">
        <f>('1'!$J122-$N122)*'2'!V122</f>
        <v>1.4403292181069966E-2</v>
      </c>
      <c r="CY122" s="2">
        <f>('1'!$J122-$N122)*'2'!W122</f>
        <v>7.7160493827160507E-3</v>
      </c>
      <c r="CZ122" s="2">
        <f>('1'!$J122-$N122)*'2'!X122</f>
        <v>2.5109855618330203E-2</v>
      </c>
      <c r="DA122" s="2">
        <f>('1'!$J122-$N122)*'2'!Y122</f>
        <v>2.9320987654320996E-2</v>
      </c>
      <c r="DB122" s="2">
        <f>('1'!$J122-$N122)</f>
        <v>0.33333333333333337</v>
      </c>
      <c r="DC122" s="2">
        <f>('1'!$K122-$O122)*'2'!V122</f>
        <v>-2.8806584362139929E-2</v>
      </c>
      <c r="DD122" s="2">
        <f>('1'!$K122-$O122)*'2'!W122</f>
        <v>-1.54320987654321E-2</v>
      </c>
      <c r="DE122" s="2">
        <f>('1'!$K122-$O122)*'2'!X122</f>
        <v>-5.02197112366604E-2</v>
      </c>
      <c r="DF122" s="2">
        <f>('1'!$K122-$O122)*'2'!Y122</f>
        <v>-5.8641975308641986E-2</v>
      </c>
      <c r="DG122" s="2">
        <f>('1'!$K122-$O122)</f>
        <v>-0.66666666666666663</v>
      </c>
    </row>
    <row r="123" spans="2:111" ht="15" x14ac:dyDescent="0.25">
      <c r="B123" s="1">
        <v>5.8</v>
      </c>
      <c r="C123" s="1">
        <v>2.8</v>
      </c>
      <c r="D123" s="1">
        <v>5.0999999999999996</v>
      </c>
      <c r="E123" s="1">
        <v>2.4</v>
      </c>
      <c r="F123" s="1" t="s">
        <v>7</v>
      </c>
      <c r="I123" s="2">
        <f>(B123-B$5)/(B$4-B$5)</f>
        <v>0.41666666666666663</v>
      </c>
      <c r="J123" s="2">
        <f>(C123-C$5)/(C$4-C$5)</f>
        <v>0.3333333333333332</v>
      </c>
      <c r="K123" s="2">
        <f>(D123-D$5)/(D$4-D$5)</f>
        <v>0.69491525423728806</v>
      </c>
      <c r="L123" s="2">
        <f>(E123-E$5)/(E$4-E$5)</f>
        <v>0.95833333333333326</v>
      </c>
      <c r="M123" s="3">
        <f>IF($F123=M$8,1,0)</f>
        <v>0</v>
      </c>
      <c r="N123" s="3">
        <f>IF($F123=N$8,1,0)</f>
        <v>0</v>
      </c>
      <c r="O123" s="3">
        <f>IF($F123=O$8,1,0)</f>
        <v>1</v>
      </c>
      <c r="CD123" s="2">
        <f ca="1">CD$2*$I123+CD$3*$J123+CD$4*$K123+CD$5*$L123+CD$6</f>
        <v>0.11961897244832541</v>
      </c>
      <c r="CE123" s="2">
        <f ca="1">CE$2*$I123+CE$3*$J123+CE$4*$K123+CE$5*$L123+CE$6</f>
        <v>3.3083315991087103E-2</v>
      </c>
      <c r="CF123" s="2">
        <f ca="1">CF$2*$I123+CF$3*$J123+CF$4*$K123+CF$5*$L123+CF$6</f>
        <v>0.94539802374186066</v>
      </c>
      <c r="CG123" s="2">
        <f t="shared" ca="1" si="12"/>
        <v>1.1270673260502246</v>
      </c>
      <c r="CH123" s="2">
        <f t="shared" ca="1" si="9"/>
        <v>1.0336366541161441</v>
      </c>
      <c r="CI123" s="2">
        <f t="shared" ca="1" si="10"/>
        <v>2.5738376232196996</v>
      </c>
      <c r="CJ123" s="2">
        <f t="shared" ca="1" si="13"/>
        <v>4.7345416033860683</v>
      </c>
      <c r="CK123" s="2">
        <f ca="1">CG123/'1'!$H123</f>
        <v>0.26731750360705897</v>
      </c>
      <c r="CL123" s="2">
        <f t="shared" ca="1" si="14"/>
        <v>0.2183182112872139</v>
      </c>
      <c r="CM123" s="2">
        <f t="shared" ca="1" si="15"/>
        <v>0.54362974049672141</v>
      </c>
      <c r="CN123" s="2">
        <f ca="1">-$M123*LOG(CK123)</f>
        <v>0</v>
      </c>
      <c r="CO123" s="2">
        <f ca="1">-$N123*LOG(CL123)</f>
        <v>0</v>
      </c>
      <c r="CP123" s="2">
        <f ca="1">-$O123*LOG(CM123)</f>
        <v>0.26469679222595693</v>
      </c>
      <c r="CQ123" s="2">
        <f t="shared" ca="1" si="16"/>
        <v>0.26469679222595693</v>
      </c>
      <c r="CR123" s="2"/>
      <c r="CS123" s="2">
        <f ca="1">(CK123-'2'!Z123)*'2'!V123</f>
        <v>-3.0562884132534413E-3</v>
      </c>
      <c r="CT123" s="2">
        <f>('1'!$I123-$M123)*'2'!W123</f>
        <v>1.2345679012345673E-2</v>
      </c>
      <c r="CU123" s="2">
        <f>('1'!$I123-$M123)*'2'!X123</f>
        <v>2.5737602008788444E-2</v>
      </c>
      <c r="CV123" s="2">
        <f>('1'!$I123-$M123)*'2'!Y123</f>
        <v>3.5493827160493818E-2</v>
      </c>
      <c r="CW123" s="2">
        <f>('1'!$I123-$M123)</f>
        <v>0.33333333333333331</v>
      </c>
      <c r="CX123" s="2">
        <f>('1'!$J123-$N123)*'2'!V123</f>
        <v>1.5432098765432094E-2</v>
      </c>
      <c r="CY123" s="2">
        <f>('1'!$J123-$N123)*'2'!W123</f>
        <v>1.2345679012345673E-2</v>
      </c>
      <c r="CZ123" s="2">
        <f>('1'!$J123-$N123)*'2'!X123</f>
        <v>2.5737602008788444E-2</v>
      </c>
      <c r="DA123" s="2">
        <f>('1'!$J123-$N123)*'2'!Y123</f>
        <v>3.5493827160493818E-2</v>
      </c>
      <c r="DB123" s="2">
        <f>('1'!$J123-$N123)</f>
        <v>0.33333333333333331</v>
      </c>
      <c r="DC123" s="2">
        <f>('1'!$K123-$O123)*'2'!V123</f>
        <v>-3.0864197530864196E-2</v>
      </c>
      <c r="DD123" s="2">
        <f>('1'!$K123-$O123)*'2'!W123</f>
        <v>-2.469135802469135E-2</v>
      </c>
      <c r="DE123" s="2">
        <f>('1'!$K123-$O123)*'2'!X123</f>
        <v>-5.1475204017576895E-2</v>
      </c>
      <c r="DF123" s="2">
        <f>('1'!$K123-$O123)*'2'!Y123</f>
        <v>-7.098765432098765E-2</v>
      </c>
      <c r="DG123" s="2">
        <f>('1'!$K123-$O123)</f>
        <v>-0.66666666666666674</v>
      </c>
    </row>
    <row r="124" spans="2:111" ht="15" x14ac:dyDescent="0.25">
      <c r="B124" s="1">
        <v>6.4</v>
      </c>
      <c r="C124" s="1">
        <v>3.2</v>
      </c>
      <c r="D124" s="1">
        <v>5.3</v>
      </c>
      <c r="E124" s="1">
        <v>2.2999999999999998</v>
      </c>
      <c r="F124" s="1" t="s">
        <v>7</v>
      </c>
      <c r="I124" s="2">
        <f>(B124-B$5)/(B$4-B$5)</f>
        <v>0.58333333333333337</v>
      </c>
      <c r="J124" s="2">
        <f>(C124-C$5)/(C$4-C$5)</f>
        <v>0.5</v>
      </c>
      <c r="K124" s="2">
        <f>(D124-D$5)/(D$4-D$5)</f>
        <v>0.72881355932203384</v>
      </c>
      <c r="L124" s="2">
        <f>(E124-E$5)/(E$4-E$5)</f>
        <v>0.91666666666666663</v>
      </c>
      <c r="M124" s="3">
        <f>IF($F124=M$8,1,0)</f>
        <v>0</v>
      </c>
      <c r="N124" s="3">
        <f>IF($F124=N$8,1,0)</f>
        <v>0</v>
      </c>
      <c r="O124" s="3">
        <f>IF($F124=O$8,1,0)</f>
        <v>1</v>
      </c>
      <c r="CD124" s="2">
        <f ca="1">CD$2*$I124+CD$3*$J124+CD$4*$K124+CD$5*$L124+CD$6</f>
        <v>0.18631227638827028</v>
      </c>
      <c r="CE124" s="2">
        <f ca="1">CE$2*$I124+CE$3*$J124+CE$4*$K124+CE$5*$L124+CE$6</f>
        <v>1.4707359471999859E-2</v>
      </c>
      <c r="CF124" s="2">
        <f ca="1">CF$2*$I124+CF$3*$J124+CF$4*$K124+CF$5*$L124+CF$6</f>
        <v>1.0153082176739849</v>
      </c>
      <c r="CG124" s="2">
        <f t="shared" ca="1" si="12"/>
        <v>1.2047984317427134</v>
      </c>
      <c r="CH124" s="2">
        <f t="shared" ca="1" si="9"/>
        <v>1.0148160448546395</v>
      </c>
      <c r="CI124" s="2">
        <f t="shared" ca="1" si="10"/>
        <v>2.7602140130249544</v>
      </c>
      <c r="CJ124" s="2">
        <f t="shared" ca="1" si="13"/>
        <v>4.9798284896223066</v>
      </c>
      <c r="CK124" s="2">
        <f ca="1">CG124/'1'!$H124</f>
        <v>0.27660041256011575</v>
      </c>
      <c r="CL124" s="2">
        <f t="shared" ca="1" si="14"/>
        <v>0.20378534059344841</v>
      </c>
      <c r="CM124" s="2">
        <f t="shared" ca="1" si="15"/>
        <v>0.55427893124775107</v>
      </c>
      <c r="CN124" s="2">
        <f ca="1">-$M124*LOG(CK124)</f>
        <v>0</v>
      </c>
      <c r="CO124" s="2">
        <f ca="1">-$N124*LOG(CL124)</f>
        <v>0</v>
      </c>
      <c r="CP124" s="2">
        <f ca="1">-$O124*LOG(CM124)</f>
        <v>0.25627162910507023</v>
      </c>
      <c r="CQ124" s="2">
        <f t="shared" ca="1" si="16"/>
        <v>0.25627162910507023</v>
      </c>
      <c r="CR124" s="2"/>
      <c r="CS124" s="2">
        <f ca="1">(CK124-'2'!Z124)*'2'!V124</f>
        <v>-3.6771337538196568E-3</v>
      </c>
      <c r="CT124" s="2">
        <f>('1'!$I124-$M124)*'2'!W124</f>
        <v>1.8518518518518517E-2</v>
      </c>
      <c r="CU124" s="2">
        <f>('1'!$I124-$M124)*'2'!X124</f>
        <v>2.6993094789704953E-2</v>
      </c>
      <c r="CV124" s="2">
        <f>('1'!$I124-$M124)*'2'!Y124</f>
        <v>3.3950617283950608E-2</v>
      </c>
      <c r="CW124" s="2">
        <f>('1'!$I124-$M124)</f>
        <v>0.33333333333333331</v>
      </c>
      <c r="CX124" s="2">
        <f>('1'!$J124-$N124)*'2'!V124</f>
        <v>2.1604938271604937E-2</v>
      </c>
      <c r="CY124" s="2">
        <f>('1'!$J124-$N124)*'2'!W124</f>
        <v>1.8518518518518517E-2</v>
      </c>
      <c r="CZ124" s="2">
        <f>('1'!$J124-$N124)*'2'!X124</f>
        <v>2.6993094789704953E-2</v>
      </c>
      <c r="DA124" s="2">
        <f>('1'!$J124-$N124)*'2'!Y124</f>
        <v>3.3950617283950608E-2</v>
      </c>
      <c r="DB124" s="2">
        <f>('1'!$J124-$N124)</f>
        <v>0.33333333333333331</v>
      </c>
      <c r="DC124" s="2">
        <f>('1'!$K124-$O124)*'2'!V124</f>
        <v>-4.3209876543209881E-2</v>
      </c>
      <c r="DD124" s="2">
        <f>('1'!$K124-$O124)*'2'!W124</f>
        <v>-3.7037037037037042E-2</v>
      </c>
      <c r="DE124" s="2">
        <f>('1'!$K124-$O124)*'2'!X124</f>
        <v>-5.3986189579409913E-2</v>
      </c>
      <c r="DF124" s="2">
        <f>('1'!$K124-$O124)*'2'!Y124</f>
        <v>-6.7901234567901231E-2</v>
      </c>
      <c r="DG124" s="2">
        <f>('1'!$K124-$O124)</f>
        <v>-0.66666666666666674</v>
      </c>
    </row>
    <row r="125" spans="2:111" ht="15" x14ac:dyDescent="0.25">
      <c r="B125" s="1">
        <v>6.5</v>
      </c>
      <c r="C125" s="1">
        <v>3</v>
      </c>
      <c r="D125" s="1">
        <v>5.5</v>
      </c>
      <c r="E125" s="1">
        <v>1.8</v>
      </c>
      <c r="F125" s="1" t="s">
        <v>7</v>
      </c>
      <c r="I125" s="2">
        <f>(B125-B$5)/(B$4-B$5)</f>
        <v>0.61111111111111105</v>
      </c>
      <c r="J125" s="2">
        <f>(C125-C$5)/(C$4-C$5)</f>
        <v>0.41666666666666663</v>
      </c>
      <c r="K125" s="2">
        <f>(D125-D$5)/(D$4-D$5)</f>
        <v>0.76271186440677963</v>
      </c>
      <c r="L125" s="2">
        <f>(E125-E$5)/(E$4-E$5)</f>
        <v>0.70833333333333337</v>
      </c>
      <c r="M125" s="3">
        <f>IF($F125=M$8,1,0)</f>
        <v>0</v>
      </c>
      <c r="N125" s="3">
        <f>IF($F125=N$8,1,0)</f>
        <v>0</v>
      </c>
      <c r="O125" s="3">
        <f>IF($F125=O$8,1,0)</f>
        <v>1</v>
      </c>
      <c r="CD125" s="2">
        <f ca="1">CD$2*$I125+CD$3*$J125+CD$4*$K125+CD$5*$L125+CD$6</f>
        <v>0.18302560961085748</v>
      </c>
      <c r="CE125" s="2">
        <f ca="1">CE$2*$I125+CE$3*$J125+CE$4*$K125+CE$5*$L125+CE$6</f>
        <v>2.8786291996455896E-2</v>
      </c>
      <c r="CF125" s="2">
        <f ca="1">CF$2*$I125+CF$3*$J125+CF$4*$K125+CF$5*$L125+CF$6</f>
        <v>0.94013635043016186</v>
      </c>
      <c r="CG125" s="2">
        <f t="shared" ca="1" si="12"/>
        <v>1.2008451608643156</v>
      </c>
      <c r="CH125" s="2">
        <f t="shared" ca="1" si="9"/>
        <v>1.0292046217060542</v>
      </c>
      <c r="CI125" s="2">
        <f t="shared" ca="1" si="10"/>
        <v>2.560330496694819</v>
      </c>
      <c r="CJ125" s="2">
        <f t="shared" ca="1" si="13"/>
        <v>4.7903802792651886</v>
      </c>
      <c r="CK125" s="2">
        <f ca="1">CG125/'1'!$H125</f>
        <v>0.28210696354535247</v>
      </c>
      <c r="CL125" s="2">
        <f t="shared" ca="1" si="14"/>
        <v>0.21484820864032261</v>
      </c>
      <c r="CM125" s="2">
        <f t="shared" ca="1" si="15"/>
        <v>0.53447332934652869</v>
      </c>
      <c r="CN125" s="2">
        <f ca="1">-$M125*LOG(CK125)</f>
        <v>0</v>
      </c>
      <c r="CO125" s="2">
        <f ca="1">-$N125*LOG(CL125)</f>
        <v>0</v>
      </c>
      <c r="CP125" s="2">
        <f ca="1">-$O125*LOG(CM125)</f>
        <v>0.27207396156207886</v>
      </c>
      <c r="CQ125" s="2">
        <f t="shared" ca="1" si="16"/>
        <v>0.27207396156207886</v>
      </c>
      <c r="CR125" s="2"/>
      <c r="CS125" s="2">
        <f ca="1">(CK125-'2'!Z125)*'2'!V125</f>
        <v>-3.478333751035735E-3</v>
      </c>
      <c r="CT125" s="2">
        <f>('1'!$I125-$M125)*'2'!W125</f>
        <v>1.5432098765432094E-2</v>
      </c>
      <c r="CU125" s="2">
        <f>('1'!$I125-$M125)*'2'!X125</f>
        <v>2.8248587570621465E-2</v>
      </c>
      <c r="CV125" s="2">
        <f>('1'!$I125-$M125)*'2'!Y125</f>
        <v>2.6234567901234563E-2</v>
      </c>
      <c r="CW125" s="2">
        <f>('1'!$I125-$M125)</f>
        <v>0.33333333333333331</v>
      </c>
      <c r="CX125" s="2">
        <f>('1'!$J125-$N125)*'2'!V125</f>
        <v>2.2633744855967072E-2</v>
      </c>
      <c r="CY125" s="2">
        <f>('1'!$J125-$N125)*'2'!W125</f>
        <v>1.5432098765432094E-2</v>
      </c>
      <c r="CZ125" s="2">
        <f>('1'!$J125-$N125)*'2'!X125</f>
        <v>2.8248587570621465E-2</v>
      </c>
      <c r="DA125" s="2">
        <f>('1'!$J125-$N125)*'2'!Y125</f>
        <v>2.6234567901234563E-2</v>
      </c>
      <c r="DB125" s="2">
        <f>('1'!$J125-$N125)</f>
        <v>0.33333333333333331</v>
      </c>
      <c r="DC125" s="2">
        <f>('1'!$K125-$O125)*'2'!V125</f>
        <v>-4.5267489711934152E-2</v>
      </c>
      <c r="DD125" s="2">
        <f>('1'!$K125-$O125)*'2'!W125</f>
        <v>-3.0864197530864196E-2</v>
      </c>
      <c r="DE125" s="2">
        <f>('1'!$K125-$O125)*'2'!X125</f>
        <v>-5.6497175141242945E-2</v>
      </c>
      <c r="DF125" s="2">
        <f>('1'!$K125-$O125)*'2'!Y125</f>
        <v>-5.2469135802469133E-2</v>
      </c>
      <c r="DG125" s="2">
        <f>('1'!$K125-$O125)</f>
        <v>-0.66666666666666674</v>
      </c>
    </row>
    <row r="126" spans="2:111" ht="15" x14ac:dyDescent="0.25">
      <c r="B126" s="1">
        <v>7.7</v>
      </c>
      <c r="C126" s="1">
        <v>3.8</v>
      </c>
      <c r="D126" s="1">
        <v>6.7</v>
      </c>
      <c r="E126" s="1">
        <v>2.2000000000000002</v>
      </c>
      <c r="F126" s="1" t="s">
        <v>7</v>
      </c>
      <c r="I126" s="2">
        <f>(B126-B$5)/(B$4-B$5)</f>
        <v>0.94444444444444442</v>
      </c>
      <c r="J126" s="2">
        <f>(C126-C$5)/(C$4-C$5)</f>
        <v>0.74999999999999978</v>
      </c>
      <c r="K126" s="2">
        <f>(D126-D$5)/(D$4-D$5)</f>
        <v>0.96610169491525422</v>
      </c>
      <c r="L126" s="2">
        <f>(E126-E$5)/(E$4-E$5)</f>
        <v>0.87500000000000011</v>
      </c>
      <c r="M126" s="3">
        <f>IF($F126=M$8,1,0)</f>
        <v>0</v>
      </c>
      <c r="N126" s="3">
        <f>IF($F126=N$8,1,0)</f>
        <v>0</v>
      </c>
      <c r="O126" s="3">
        <f>IF($F126=O$8,1,0)</f>
        <v>1</v>
      </c>
      <c r="CD126" s="2">
        <f ca="1">CD$2*$I126+CD$3*$J126+CD$4*$K126+CD$5*$L126+CD$6</f>
        <v>0.28737676357261227</v>
      </c>
      <c r="CE126" s="2">
        <f ca="1">CE$2*$I126+CE$3*$J126+CE$4*$K126+CE$5*$L126+CE$6</f>
        <v>-1.4749458610205546E-2</v>
      </c>
      <c r="CF126" s="2">
        <f ca="1">CF$2*$I126+CF$3*$J126+CF$4*$K126+CF$5*$L126+CF$6</f>
        <v>1.2371719095141025</v>
      </c>
      <c r="CG126" s="2">
        <f t="shared" ca="1" si="12"/>
        <v>1.3329263169637926</v>
      </c>
      <c r="CH126" s="2">
        <f t="shared" ca="1" si="9"/>
        <v>0.98535878183832104</v>
      </c>
      <c r="CI126" s="2">
        <f t="shared" ca="1" si="10"/>
        <v>3.4458544833457276</v>
      </c>
      <c r="CJ126" s="2">
        <f t="shared" ca="1" si="13"/>
        <v>5.7641395821478412</v>
      </c>
      <c r="CK126" s="2">
        <f ca="1">CG126/'1'!$H126</f>
        <v>0.28229853336814298</v>
      </c>
      <c r="CL126" s="2">
        <f t="shared" ca="1" si="14"/>
        <v>0.17094637765020176</v>
      </c>
      <c r="CM126" s="2">
        <f t="shared" ca="1" si="15"/>
        <v>0.59780899373393193</v>
      </c>
      <c r="CN126" s="2">
        <f ca="1">-$M126*LOG(CK126)</f>
        <v>0</v>
      </c>
      <c r="CO126" s="2">
        <f ca="1">-$N126*LOG(CL126)</f>
        <v>0</v>
      </c>
      <c r="CP126" s="2">
        <f ca="1">-$O126*LOG(CM126)</f>
        <v>0.22343755550678021</v>
      </c>
      <c r="CQ126" s="2">
        <f t="shared" ca="1" si="16"/>
        <v>0.22343755550678021</v>
      </c>
      <c r="CR126" s="2"/>
      <c r="CS126" s="2">
        <f ca="1">(CK126-'2'!Z126)*'2'!V126</f>
        <v>-5.3555037000508369E-3</v>
      </c>
      <c r="CT126" s="2">
        <f>('1'!$I126-$M126)*'2'!W126</f>
        <v>2.7777777777777766E-2</v>
      </c>
      <c r="CU126" s="2">
        <f>('1'!$I126-$M126)*'2'!X126</f>
        <v>3.5781544256120519E-2</v>
      </c>
      <c r="CV126" s="2">
        <f>('1'!$I126-$M126)*'2'!Y126</f>
        <v>3.2407407407407406E-2</v>
      </c>
      <c r="CW126" s="2">
        <f>('1'!$I126-$M126)</f>
        <v>0.33333333333333331</v>
      </c>
      <c r="CX126" s="2">
        <f>('1'!$J126-$N126)*'2'!V126</f>
        <v>3.4979423868312751E-2</v>
      </c>
      <c r="CY126" s="2">
        <f>('1'!$J126-$N126)*'2'!W126</f>
        <v>2.7777777777777766E-2</v>
      </c>
      <c r="CZ126" s="2">
        <f>('1'!$J126-$N126)*'2'!X126</f>
        <v>3.5781544256120519E-2</v>
      </c>
      <c r="DA126" s="2">
        <f>('1'!$J126-$N126)*'2'!Y126</f>
        <v>3.2407407407407406E-2</v>
      </c>
      <c r="DB126" s="2">
        <f>('1'!$J126-$N126)</f>
        <v>0.33333333333333331</v>
      </c>
      <c r="DC126" s="2">
        <f>('1'!$K126-$O126)*'2'!V126</f>
        <v>-6.9958847736625515E-2</v>
      </c>
      <c r="DD126" s="2">
        <f>('1'!$K126-$O126)*'2'!W126</f>
        <v>-5.5555555555555539E-2</v>
      </c>
      <c r="DE126" s="2">
        <f>('1'!$K126-$O126)*'2'!X126</f>
        <v>-7.1563088512241052E-2</v>
      </c>
      <c r="DF126" s="2">
        <f>('1'!$K126-$O126)*'2'!Y126</f>
        <v>-6.4814814814814825E-2</v>
      </c>
      <c r="DG126" s="2">
        <f>('1'!$K126-$O126)</f>
        <v>-0.66666666666666674</v>
      </c>
    </row>
    <row r="127" spans="2:111" ht="15" x14ac:dyDescent="0.25">
      <c r="B127" s="1">
        <v>7.7</v>
      </c>
      <c r="C127" s="1">
        <v>2.6</v>
      </c>
      <c r="D127" s="1">
        <v>6.9</v>
      </c>
      <c r="E127" s="1">
        <v>2.2999999999999998</v>
      </c>
      <c r="F127" s="1" t="s">
        <v>7</v>
      </c>
      <c r="I127" s="2">
        <f>(B127-B$5)/(B$4-B$5)</f>
        <v>0.94444444444444442</v>
      </c>
      <c r="J127" s="2">
        <f>(C127-C$5)/(C$4-C$5)</f>
        <v>0.25</v>
      </c>
      <c r="K127" s="2">
        <f>(D127-D$5)/(D$4-D$5)</f>
        <v>1</v>
      </c>
      <c r="L127" s="2">
        <f>(E127-E$5)/(E$4-E$5)</f>
        <v>0.91666666666666663</v>
      </c>
      <c r="M127" s="3">
        <f>IF($F127=M$8,1,0)</f>
        <v>0</v>
      </c>
      <c r="N127" s="3">
        <f>IF($F127=N$8,1,0)</f>
        <v>0</v>
      </c>
      <c r="O127" s="3">
        <f>IF($F127=O$8,1,0)</f>
        <v>1</v>
      </c>
      <c r="CD127" s="2">
        <f ca="1">CD$2*$I127+CD$3*$J127+CD$4*$K127+CD$5*$L127+CD$6</f>
        <v>0.15310088728052607</v>
      </c>
      <c r="CE127" s="2">
        <f ca="1">CE$2*$I127+CE$3*$J127+CE$4*$K127+CE$5*$L127+CE$6</f>
        <v>2.7863547308893247E-2</v>
      </c>
      <c r="CF127" s="2">
        <f ca="1">CF$2*$I127+CF$3*$J127+CF$4*$K127+CF$5*$L127+CF$6</f>
        <v>1.2029337498203574</v>
      </c>
      <c r="CG127" s="2">
        <f t="shared" ca="1" si="12"/>
        <v>1.1654425513414726</v>
      </c>
      <c r="CH127" s="2">
        <f t="shared" ca="1" si="9"/>
        <v>1.0282553666363505</v>
      </c>
      <c r="CI127" s="2">
        <f t="shared" ca="1" si="10"/>
        <v>3.3298716170821208</v>
      </c>
      <c r="CJ127" s="2">
        <f t="shared" ca="1" si="13"/>
        <v>5.5235695350599432</v>
      </c>
      <c r="CK127" s="2">
        <f ca="1">CG127/'1'!$H127</f>
        <v>0.25752911108818083</v>
      </c>
      <c r="CL127" s="2">
        <f t="shared" ca="1" si="14"/>
        <v>0.18615776629762146</v>
      </c>
      <c r="CM127" s="2">
        <f t="shared" ca="1" si="15"/>
        <v>0.60284777731977701</v>
      </c>
      <c r="CN127" s="2">
        <f ca="1">-$M127*LOG(CK127)</f>
        <v>0</v>
      </c>
      <c r="CO127" s="2">
        <f ca="1">-$N127*LOG(CL127)</f>
        <v>0</v>
      </c>
      <c r="CP127" s="2">
        <f ca="1">-$O127*LOG(CM127)</f>
        <v>0.2197923359790159</v>
      </c>
      <c r="CQ127" s="2">
        <f t="shared" ca="1" si="16"/>
        <v>0.2197923359790159</v>
      </c>
      <c r="CR127" s="2"/>
      <c r="CS127" s="2">
        <f ca="1">(CK127-'2'!Z127)*'2'!V127</f>
        <v>-7.9547640627629229E-3</v>
      </c>
      <c r="CT127" s="2">
        <f>('1'!$I127-$M127)*'2'!W127</f>
        <v>9.2592592592592622E-3</v>
      </c>
      <c r="CU127" s="2">
        <f>('1'!$I127-$M127)*'2'!X127</f>
        <v>3.7037037037037049E-2</v>
      </c>
      <c r="CV127" s="2">
        <f>('1'!$I127-$M127)*'2'!Y127</f>
        <v>3.3950617283950629E-2</v>
      </c>
      <c r="CW127" s="2">
        <f>('1'!$I127-$M127)</f>
        <v>0.33333333333333337</v>
      </c>
      <c r="CX127" s="2">
        <f>('1'!$J127-$N127)*'2'!V127</f>
        <v>3.4979423868312771E-2</v>
      </c>
      <c r="CY127" s="2">
        <f>('1'!$J127-$N127)*'2'!W127</f>
        <v>9.2592592592592622E-3</v>
      </c>
      <c r="CZ127" s="2">
        <f>('1'!$J127-$N127)*'2'!X127</f>
        <v>3.7037037037037049E-2</v>
      </c>
      <c r="DA127" s="2">
        <f>('1'!$J127-$N127)*'2'!Y127</f>
        <v>3.3950617283950629E-2</v>
      </c>
      <c r="DB127" s="2">
        <f>('1'!$J127-$N127)</f>
        <v>0.33333333333333337</v>
      </c>
      <c r="DC127" s="2">
        <f>('1'!$K127-$O127)*'2'!V127</f>
        <v>-6.9958847736625529E-2</v>
      </c>
      <c r="DD127" s="2">
        <f>('1'!$K127-$O127)*'2'!W127</f>
        <v>-1.8518518518518521E-2</v>
      </c>
      <c r="DE127" s="2">
        <f>('1'!$K127-$O127)*'2'!X127</f>
        <v>-7.4074074074074084E-2</v>
      </c>
      <c r="DF127" s="2">
        <f>('1'!$K127-$O127)*'2'!Y127</f>
        <v>-6.7901234567901245E-2</v>
      </c>
      <c r="DG127" s="2">
        <f>('1'!$K127-$O127)</f>
        <v>-0.66666666666666663</v>
      </c>
    </row>
    <row r="128" spans="2:111" ht="15" x14ac:dyDescent="0.25">
      <c r="B128" s="1">
        <v>6</v>
      </c>
      <c r="C128" s="1">
        <v>2.2000000000000002</v>
      </c>
      <c r="D128" s="1">
        <v>5</v>
      </c>
      <c r="E128" s="1">
        <v>1.5</v>
      </c>
      <c r="F128" s="1" t="s">
        <v>7</v>
      </c>
      <c r="I128" s="2">
        <f>(B128-B$5)/(B$4-B$5)</f>
        <v>0.47222222222222221</v>
      </c>
      <c r="J128" s="2">
        <f>(C128-C$5)/(C$4-C$5)</f>
        <v>8.3333333333333398E-2</v>
      </c>
      <c r="K128" s="2">
        <f>(D128-D$5)/(D$4-D$5)</f>
        <v>0.67796610169491522</v>
      </c>
      <c r="L128" s="2">
        <f>(E128-E$5)/(E$4-E$5)</f>
        <v>0.58333333333333337</v>
      </c>
      <c r="M128" s="3">
        <f>IF($F128=M$8,1,0)</f>
        <v>0</v>
      </c>
      <c r="N128" s="3">
        <f>IF($F128=N$8,1,0)</f>
        <v>0</v>
      </c>
      <c r="O128" s="3">
        <f>IF($F128=O$8,1,0)</f>
        <v>1</v>
      </c>
      <c r="CD128" s="2">
        <f ca="1">CD$2*$I128+CD$3*$J128+CD$4*$K128+CD$5*$L128+CD$6</f>
        <v>9.394016119447679E-2</v>
      </c>
      <c r="CE128" s="2">
        <f ca="1">CE$2*$I128+CE$3*$J128+CE$4*$K128+CE$5*$L128+CE$6</f>
        <v>6.5818134429696057E-2</v>
      </c>
      <c r="CF128" s="2">
        <f ca="1">CF$2*$I128+CF$3*$J128+CF$4*$K128+CF$5*$L128+CF$6</f>
        <v>0.76808538873037147</v>
      </c>
      <c r="CG128" s="2">
        <f t="shared" ca="1" si="12"/>
        <v>1.0984940113809398</v>
      </c>
      <c r="CH128" s="2">
        <f t="shared" ca="1" si="9"/>
        <v>1.0680324611696361</v>
      </c>
      <c r="CI128" s="2">
        <f t="shared" ca="1" si="10"/>
        <v>2.1556350970172846</v>
      </c>
      <c r="CJ128" s="2">
        <f t="shared" ca="1" si="13"/>
        <v>4.3221615695678608</v>
      </c>
      <c r="CK128" s="2">
        <f ca="1">CG128/'1'!$H128</f>
        <v>0.27627525029843319</v>
      </c>
      <c r="CL128" s="2">
        <f t="shared" ca="1" si="14"/>
        <v>0.2471060935550404</v>
      </c>
      <c r="CM128" s="2">
        <f t="shared" ca="1" si="15"/>
        <v>0.49874005455858278</v>
      </c>
      <c r="CN128" s="2">
        <f ca="1">-$M128*LOG(CK128)</f>
        <v>0</v>
      </c>
      <c r="CO128" s="2">
        <f ca="1">-$N128*LOG(CL128)</f>
        <v>0</v>
      </c>
      <c r="CP128" s="2">
        <f ca="1">-$O128*LOG(CM128)</f>
        <v>0.30212575154257415</v>
      </c>
      <c r="CQ128" s="2">
        <f t="shared" ca="1" si="16"/>
        <v>0.30212575154257415</v>
      </c>
      <c r="CR128" s="2"/>
      <c r="CS128" s="2">
        <f ca="1">(CK128-'2'!Z128)*'2'!V128</f>
        <v>-2.993788307386734E-3</v>
      </c>
      <c r="CT128" s="2">
        <f>('1'!$I128-$M128)*'2'!W128</f>
        <v>3.0864197530864218E-3</v>
      </c>
      <c r="CU128" s="2">
        <f>('1'!$I128-$M128)*'2'!X128</f>
        <v>2.5109855618330186E-2</v>
      </c>
      <c r="CV128" s="2">
        <f>('1'!$I128-$M128)*'2'!Y128</f>
        <v>2.1604938271604937E-2</v>
      </c>
      <c r="CW128" s="2">
        <f>('1'!$I128-$M128)</f>
        <v>0.33333333333333331</v>
      </c>
      <c r="CX128" s="2">
        <f>('1'!$J128-$N128)*'2'!V128</f>
        <v>1.7489711934156375E-2</v>
      </c>
      <c r="CY128" s="2">
        <f>('1'!$J128-$N128)*'2'!W128</f>
        <v>3.0864197530864218E-3</v>
      </c>
      <c r="CZ128" s="2">
        <f>('1'!$J128-$N128)*'2'!X128</f>
        <v>2.5109855618330186E-2</v>
      </c>
      <c r="DA128" s="2">
        <f>('1'!$J128-$N128)*'2'!Y128</f>
        <v>2.1604938271604937E-2</v>
      </c>
      <c r="DB128" s="2">
        <f>('1'!$J128-$N128)</f>
        <v>0.33333333333333331</v>
      </c>
      <c r="DC128" s="2">
        <f>('1'!$K128-$O128)*'2'!V128</f>
        <v>-3.4979423868312758E-2</v>
      </c>
      <c r="DD128" s="2">
        <f>('1'!$K128-$O128)*'2'!W128</f>
        <v>-6.1728395061728444E-3</v>
      </c>
      <c r="DE128" s="2">
        <f>('1'!$K128-$O128)*'2'!X128</f>
        <v>-5.0219711236660379E-2</v>
      </c>
      <c r="DF128" s="2">
        <f>('1'!$K128-$O128)*'2'!Y128</f>
        <v>-4.3209876543209881E-2</v>
      </c>
      <c r="DG128" s="2">
        <f>('1'!$K128-$O128)</f>
        <v>-0.66666666666666674</v>
      </c>
    </row>
    <row r="129" spans="2:111" ht="15" x14ac:dyDescent="0.25">
      <c r="B129" s="1">
        <v>6.9</v>
      </c>
      <c r="C129" s="1">
        <v>3.2</v>
      </c>
      <c r="D129" s="1">
        <v>5.7</v>
      </c>
      <c r="E129" s="1">
        <v>2.2999999999999998</v>
      </c>
      <c r="F129" s="1" t="s">
        <v>7</v>
      </c>
      <c r="I129" s="2">
        <f>(B129-B$5)/(B$4-B$5)</f>
        <v>0.72222222222222221</v>
      </c>
      <c r="J129" s="2">
        <f>(C129-C$5)/(C$4-C$5)</f>
        <v>0.5</v>
      </c>
      <c r="K129" s="2">
        <f>(D129-D$5)/(D$4-D$5)</f>
        <v>0.79661016949152541</v>
      </c>
      <c r="L129" s="2">
        <f>(E129-E$5)/(E$4-E$5)</f>
        <v>0.91666666666666663</v>
      </c>
      <c r="M129" s="3">
        <f>IF($F129=M$8,1,0)</f>
        <v>0</v>
      </c>
      <c r="N129" s="3">
        <f>IF($F129=N$8,1,0)</f>
        <v>0</v>
      </c>
      <c r="O129" s="3">
        <f>IF($F129=O$8,1,0)</f>
        <v>1</v>
      </c>
      <c r="CD129" s="2">
        <f ca="1">CD$2*$I129+CD$3*$J129+CD$4*$K129+CD$5*$L129+CD$6</f>
        <v>0.2007269426240253</v>
      </c>
      <c r="CE129" s="2">
        <f ca="1">CE$2*$I129+CE$3*$J129+CE$4*$K129+CE$5*$L129+CE$6</f>
        <v>1.0857613335007524E-2</v>
      </c>
      <c r="CF129" s="2">
        <f ca="1">CF$2*$I129+CF$3*$J129+CF$4*$K129+CF$5*$L129+CF$6</f>
        <v>1.0855483802915193</v>
      </c>
      <c r="CG129" s="2">
        <f t="shared" ca="1" si="12"/>
        <v>1.2222909706868366</v>
      </c>
      <c r="CH129" s="2">
        <f t="shared" ca="1" si="9"/>
        <v>1.0109167711289628</v>
      </c>
      <c r="CI129" s="2">
        <f t="shared" ca="1" si="10"/>
        <v>2.961063162274145</v>
      </c>
      <c r="CJ129" s="2">
        <f t="shared" ca="1" si="13"/>
        <v>5.1942709040899437</v>
      </c>
      <c r="CK129" s="2">
        <f ca="1">CG129/'1'!$H129</f>
        <v>0.27487598356638021</v>
      </c>
      <c r="CL129" s="2">
        <f t="shared" ca="1" si="14"/>
        <v>0.19462149545049179</v>
      </c>
      <c r="CM129" s="2">
        <f t="shared" ca="1" si="15"/>
        <v>0.57006329029597169</v>
      </c>
      <c r="CN129" s="2">
        <f ca="1">-$M129*LOG(CK129)</f>
        <v>0</v>
      </c>
      <c r="CO129" s="2">
        <f ca="1">-$N129*LOG(CL129)</f>
        <v>0</v>
      </c>
      <c r="CP129" s="2">
        <f ca="1">-$O129*LOG(CM129)</f>
        <v>0.24407692485309743</v>
      </c>
      <c r="CQ129" s="2">
        <f t="shared" ca="1" si="16"/>
        <v>0.24407692485309743</v>
      </c>
      <c r="CR129" s="2"/>
      <c r="CS129" s="2">
        <f ca="1">(CK129-'2'!Z129)*'2'!V129</f>
        <v>-4.6910218948789523E-3</v>
      </c>
      <c r="CT129" s="2">
        <f>('1'!$I129-$M129)*'2'!W129</f>
        <v>1.8518518518518517E-2</v>
      </c>
      <c r="CU129" s="2">
        <f>('1'!$I129-$M129)*'2'!X129</f>
        <v>2.9504080351537974E-2</v>
      </c>
      <c r="CV129" s="2">
        <f>('1'!$I129-$M129)*'2'!Y129</f>
        <v>3.3950617283950608E-2</v>
      </c>
      <c r="CW129" s="2">
        <f>('1'!$I129-$M129)</f>
        <v>0.33333333333333331</v>
      </c>
      <c r="CX129" s="2">
        <f>('1'!$J129-$N129)*'2'!V129</f>
        <v>2.6748971193415634E-2</v>
      </c>
      <c r="CY129" s="2">
        <f>('1'!$J129-$N129)*'2'!W129</f>
        <v>1.8518518518518517E-2</v>
      </c>
      <c r="CZ129" s="2">
        <f>('1'!$J129-$N129)*'2'!X129</f>
        <v>2.9504080351537974E-2</v>
      </c>
      <c r="DA129" s="2">
        <f>('1'!$J129-$N129)*'2'!Y129</f>
        <v>3.3950617283950608E-2</v>
      </c>
      <c r="DB129" s="2">
        <f>('1'!$J129-$N129)</f>
        <v>0.33333333333333331</v>
      </c>
      <c r="DC129" s="2">
        <f>('1'!$K129-$O129)*'2'!V129</f>
        <v>-5.3497942386831282E-2</v>
      </c>
      <c r="DD129" s="2">
        <f>('1'!$K129-$O129)*'2'!W129</f>
        <v>-3.7037037037037042E-2</v>
      </c>
      <c r="DE129" s="2">
        <f>('1'!$K129-$O129)*'2'!X129</f>
        <v>-5.9008160703075963E-2</v>
      </c>
      <c r="DF129" s="2">
        <f>('1'!$K129-$O129)*'2'!Y129</f>
        <v>-6.7901234567901231E-2</v>
      </c>
      <c r="DG129" s="2">
        <f>('1'!$K129-$O129)</f>
        <v>-0.66666666666666674</v>
      </c>
    </row>
    <row r="130" spans="2:111" ht="15" x14ac:dyDescent="0.25">
      <c r="B130" s="1">
        <v>5.6</v>
      </c>
      <c r="C130" s="1">
        <v>2.8</v>
      </c>
      <c r="D130" s="1">
        <v>4.9000000000000004</v>
      </c>
      <c r="E130" s="1">
        <v>2</v>
      </c>
      <c r="F130" s="1" t="s">
        <v>7</v>
      </c>
      <c r="I130" s="2">
        <f>(B130-B$5)/(B$4-B$5)</f>
        <v>0.36111111111111099</v>
      </c>
      <c r="J130" s="2">
        <f>(C130-C$5)/(C$4-C$5)</f>
        <v>0.3333333333333332</v>
      </c>
      <c r="K130" s="2">
        <f>(D130-D$5)/(D$4-D$5)</f>
        <v>0.66101694915254239</v>
      </c>
      <c r="L130" s="2">
        <f>(E130-E$5)/(E$4-E$5)</f>
        <v>0.79166666666666663</v>
      </c>
      <c r="M130" s="3">
        <f>IF($F130=M$8,1,0)</f>
        <v>0</v>
      </c>
      <c r="N130" s="3">
        <f>IF($F130=N$8,1,0)</f>
        <v>0</v>
      </c>
      <c r="O130" s="3">
        <f>IF($F130=O$8,1,0)</f>
        <v>1</v>
      </c>
      <c r="CD130" s="2">
        <f ca="1">CD$2*$I130+CD$3*$J130+CD$4*$K130+CD$5*$L130+CD$6</f>
        <v>0.12761679522324007</v>
      </c>
      <c r="CE130" s="2">
        <f ca="1">CE$2*$I130+CE$3*$J130+CE$4*$K130+CE$5*$L130+CE$6</f>
        <v>4.035759779544637E-2</v>
      </c>
      <c r="CF130" s="2">
        <f ca="1">CF$2*$I130+CF$3*$J130+CF$4*$K130+CF$5*$L130+CF$6</f>
        <v>0.84548409208941444</v>
      </c>
      <c r="CG130" s="2">
        <f t="shared" ca="1" si="12"/>
        <v>1.1361175535958024</v>
      </c>
      <c r="CH130" s="2">
        <f t="shared" ca="1" si="9"/>
        <v>1.041183032386104</v>
      </c>
      <c r="CI130" s="2">
        <f t="shared" ca="1" si="10"/>
        <v>2.3291050430337781</v>
      </c>
      <c r="CJ130" s="2">
        <f t="shared" ca="1" si="13"/>
        <v>4.5064056290156849</v>
      </c>
      <c r="CK130" s="2">
        <f ca="1">CG130/'1'!$H130</f>
        <v>0.27645470154964696</v>
      </c>
      <c r="CL130" s="2">
        <f t="shared" ca="1" si="14"/>
        <v>0.23104512067936619</v>
      </c>
      <c r="CM130" s="2">
        <f t="shared" ca="1" si="15"/>
        <v>0.51684318607211455</v>
      </c>
      <c r="CN130" s="2">
        <f ca="1">-$M130*LOG(CK130)</f>
        <v>0</v>
      </c>
      <c r="CO130" s="2">
        <f ca="1">-$N130*LOG(CL130)</f>
        <v>0</v>
      </c>
      <c r="CP130" s="2">
        <f ca="1">-$O130*LOG(CM130)</f>
        <v>0.28664120497966478</v>
      </c>
      <c r="CQ130" s="2">
        <f t="shared" ca="1" si="16"/>
        <v>0.28664120497966478</v>
      </c>
      <c r="CR130" s="2"/>
      <c r="CS130" s="2">
        <f ca="1">(CK130-'2'!Z130)*'2'!V130</f>
        <v>-2.2821673246540813E-3</v>
      </c>
      <c r="CT130" s="2">
        <f>('1'!$I130-$M130)*'2'!W130</f>
        <v>1.2345679012345673E-2</v>
      </c>
      <c r="CU130" s="2">
        <f>('1'!$I130-$M130)*'2'!X130</f>
        <v>2.4482109227871935E-2</v>
      </c>
      <c r="CV130" s="2">
        <f>('1'!$I130-$M130)*'2'!Y130</f>
        <v>2.9320987654320979E-2</v>
      </c>
      <c r="CW130" s="2">
        <f>('1'!$I130-$M130)</f>
        <v>0.33333333333333331</v>
      </c>
      <c r="CX130" s="2">
        <f>('1'!$J130-$N130)*'2'!V130</f>
        <v>1.3374485596707814E-2</v>
      </c>
      <c r="CY130" s="2">
        <f>('1'!$J130-$N130)*'2'!W130</f>
        <v>1.2345679012345673E-2</v>
      </c>
      <c r="CZ130" s="2">
        <f>('1'!$J130-$N130)*'2'!X130</f>
        <v>2.4482109227871935E-2</v>
      </c>
      <c r="DA130" s="2">
        <f>('1'!$J130-$N130)*'2'!Y130</f>
        <v>2.9320987654320979E-2</v>
      </c>
      <c r="DB130" s="2">
        <f>('1'!$J130-$N130)</f>
        <v>0.33333333333333331</v>
      </c>
      <c r="DC130" s="2">
        <f>('1'!$K130-$O130)*'2'!V130</f>
        <v>-2.6748971193415631E-2</v>
      </c>
      <c r="DD130" s="2">
        <f>('1'!$K130-$O130)*'2'!W130</f>
        <v>-2.469135802469135E-2</v>
      </c>
      <c r="DE130" s="2">
        <f>('1'!$K130-$O130)*'2'!X130</f>
        <v>-4.8964218455743877E-2</v>
      </c>
      <c r="DF130" s="2">
        <f>('1'!$K130-$O130)*'2'!Y130</f>
        <v>-5.8641975308641965E-2</v>
      </c>
      <c r="DG130" s="2">
        <f>('1'!$K130-$O130)</f>
        <v>-0.66666666666666674</v>
      </c>
    </row>
    <row r="131" spans="2:111" ht="15" x14ac:dyDescent="0.25">
      <c r="B131" s="1">
        <v>7.7</v>
      </c>
      <c r="C131" s="1">
        <v>2.8</v>
      </c>
      <c r="D131" s="1">
        <v>6.7</v>
      </c>
      <c r="E131" s="1">
        <v>2</v>
      </c>
      <c r="F131" s="1" t="s">
        <v>7</v>
      </c>
      <c r="I131" s="2">
        <f>(B131-B$5)/(B$4-B$5)</f>
        <v>0.94444444444444442</v>
      </c>
      <c r="J131" s="2">
        <f>(C131-C$5)/(C$4-C$5)</f>
        <v>0.3333333333333332</v>
      </c>
      <c r="K131" s="2">
        <f>(D131-D$5)/(D$4-D$5)</f>
        <v>0.96610169491525422</v>
      </c>
      <c r="L131" s="2">
        <f>(E131-E$5)/(E$4-E$5)</f>
        <v>0.79166666666666663</v>
      </c>
      <c r="M131" s="3">
        <f>IF($F131=M$8,1,0)</f>
        <v>0</v>
      </c>
      <c r="N131" s="3">
        <f>IF($F131=N$8,1,0)</f>
        <v>0</v>
      </c>
      <c r="O131" s="3">
        <f>IF($F131=O$8,1,0)</f>
        <v>1</v>
      </c>
      <c r="CD131" s="2">
        <f ca="1">CD$2*$I131+CD$3*$J131+CD$4*$K131+CD$5*$L131+CD$6</f>
        <v>0.18679786584352318</v>
      </c>
      <c r="CE131" s="2">
        <f ca="1">CE$2*$I131+CE$3*$J131+CE$4*$K131+CE$5*$L131+CE$6</f>
        <v>2.4483432256163409E-2</v>
      </c>
      <c r="CF131" s="2">
        <f ca="1">CF$2*$I131+CF$3*$J131+CF$4*$K131+CF$5*$L131+CF$6</f>
        <v>1.1485179163768227</v>
      </c>
      <c r="CG131" s="2">
        <f t="shared" ca="1" si="12"/>
        <v>1.2053836112238669</v>
      </c>
      <c r="CH131" s="2">
        <f t="shared" ca="1" si="9"/>
        <v>1.0247856125810344</v>
      </c>
      <c r="CI131" s="2">
        <f t="shared" ca="1" si="10"/>
        <v>3.1535156705853784</v>
      </c>
      <c r="CJ131" s="2">
        <f t="shared" ca="1" si="13"/>
        <v>5.3836848943902798</v>
      </c>
      <c r="CK131" s="2">
        <f ca="1">CG131/'1'!$H131</f>
        <v>0.26837526462395528</v>
      </c>
      <c r="CL131" s="2">
        <f t="shared" ca="1" si="14"/>
        <v>0.1903502215831476</v>
      </c>
      <c r="CM131" s="2">
        <f t="shared" ca="1" si="15"/>
        <v>0.58575413168614221</v>
      </c>
      <c r="CN131" s="2">
        <f ca="1">-$M131*LOG(CK131)</f>
        <v>0</v>
      </c>
      <c r="CO131" s="2">
        <f ca="1">-$N131*LOG(CL131)</f>
        <v>0</v>
      </c>
      <c r="CP131" s="2">
        <f ca="1">-$O131*LOG(CM131)</f>
        <v>0.23228463937263155</v>
      </c>
      <c r="CQ131" s="2">
        <f t="shared" ca="1" si="16"/>
        <v>0.23228463937263155</v>
      </c>
      <c r="CR131" s="2"/>
      <c r="CS131" s="2">
        <f ca="1">(CK131-'2'!Z131)*'2'!V131</f>
        <v>-6.8165874571569527E-3</v>
      </c>
      <c r="CT131" s="2">
        <f>('1'!$I131-$M131)*'2'!W131</f>
        <v>1.2345679012345673E-2</v>
      </c>
      <c r="CU131" s="2">
        <f>('1'!$I131-$M131)*'2'!X131</f>
        <v>3.5781544256120519E-2</v>
      </c>
      <c r="CV131" s="2">
        <f>('1'!$I131-$M131)*'2'!Y131</f>
        <v>2.9320987654320979E-2</v>
      </c>
      <c r="CW131" s="2">
        <f>('1'!$I131-$M131)</f>
        <v>0.33333333333333331</v>
      </c>
      <c r="CX131" s="2">
        <f>('1'!$J131-$N131)*'2'!V131</f>
        <v>3.4979423868312751E-2</v>
      </c>
      <c r="CY131" s="2">
        <f>('1'!$J131-$N131)*'2'!W131</f>
        <v>1.2345679012345673E-2</v>
      </c>
      <c r="CZ131" s="2">
        <f>('1'!$J131-$N131)*'2'!X131</f>
        <v>3.5781544256120519E-2</v>
      </c>
      <c r="DA131" s="2">
        <f>('1'!$J131-$N131)*'2'!Y131</f>
        <v>2.9320987654320979E-2</v>
      </c>
      <c r="DB131" s="2">
        <f>('1'!$J131-$N131)</f>
        <v>0.33333333333333331</v>
      </c>
      <c r="DC131" s="2">
        <f>('1'!$K131-$O131)*'2'!V131</f>
        <v>-6.9958847736625515E-2</v>
      </c>
      <c r="DD131" s="2">
        <f>('1'!$K131-$O131)*'2'!W131</f>
        <v>-2.469135802469135E-2</v>
      </c>
      <c r="DE131" s="2">
        <f>('1'!$K131-$O131)*'2'!X131</f>
        <v>-7.1563088512241052E-2</v>
      </c>
      <c r="DF131" s="2">
        <f>('1'!$K131-$O131)*'2'!Y131</f>
        <v>-5.8641975308641965E-2</v>
      </c>
      <c r="DG131" s="2">
        <f>('1'!$K131-$O131)</f>
        <v>-0.66666666666666674</v>
      </c>
    </row>
    <row r="132" spans="2:111" ht="15" x14ac:dyDescent="0.25">
      <c r="B132" s="1">
        <v>6.3</v>
      </c>
      <c r="C132" s="1">
        <v>2.7</v>
      </c>
      <c r="D132" s="1">
        <v>4.9000000000000004</v>
      </c>
      <c r="E132" s="1">
        <v>1.8</v>
      </c>
      <c r="F132" s="1" t="s">
        <v>7</v>
      </c>
      <c r="I132" s="2">
        <f>(B132-B$5)/(B$4-B$5)</f>
        <v>0.55555555555555547</v>
      </c>
      <c r="J132" s="2">
        <f>(C132-C$5)/(C$4-C$5)</f>
        <v>0.29166666666666669</v>
      </c>
      <c r="K132" s="2">
        <f>(D132-D$5)/(D$4-D$5)</f>
        <v>0.66101694915254239</v>
      </c>
      <c r="L132" s="2">
        <f>(E132-E$5)/(E$4-E$5)</f>
        <v>0.70833333333333337</v>
      </c>
      <c r="M132" s="3">
        <f>IF($F132=M$8,1,0)</f>
        <v>0</v>
      </c>
      <c r="N132" s="3">
        <f>IF($F132=N$8,1,0)</f>
        <v>0</v>
      </c>
      <c r="O132" s="3">
        <f>IF($F132=O$8,1,0)</f>
        <v>1</v>
      </c>
      <c r="CD132" s="2">
        <f ca="1">CD$2*$I132+CD$3*$J132+CD$4*$K132+CD$5*$L132+CD$6</f>
        <v>0.15007814787553023</v>
      </c>
      <c r="CE132" s="2">
        <f ca="1">CE$2*$I132+CE$3*$J132+CE$4*$K132+CE$5*$L132+CE$6</f>
        <v>4.0140344931280506E-2</v>
      </c>
      <c r="CF132" s="2">
        <f ca="1">CF$2*$I132+CF$3*$J132+CF$4*$K132+CF$5*$L132+CF$6</f>
        <v>0.86638999229095681</v>
      </c>
      <c r="CG132" s="2">
        <f t="shared" ca="1" si="12"/>
        <v>1.1619250411538764</v>
      </c>
      <c r="CH132" s="2">
        <f t="shared" ca="1" si="9"/>
        <v>1.0409568569597165</v>
      </c>
      <c r="CI132" s="2">
        <f t="shared" ca="1" si="10"/>
        <v>2.3783096215401875</v>
      </c>
      <c r="CJ132" s="2">
        <f t="shared" ca="1" si="13"/>
        <v>4.58119151965378</v>
      </c>
      <c r="CK132" s="2">
        <f ca="1">CG132/'1'!$H132</f>
        <v>0.28077787820267741</v>
      </c>
      <c r="CL132" s="2">
        <f t="shared" ca="1" si="14"/>
        <v>0.22722404258671683</v>
      </c>
      <c r="CM132" s="2">
        <f t="shared" ca="1" si="15"/>
        <v>0.51914651708774806</v>
      </c>
      <c r="CN132" s="2">
        <f ca="1">-$M132*LOG(CK132)</f>
        <v>0</v>
      </c>
      <c r="CO132" s="2">
        <f ca="1">-$N132*LOG(CL132)</f>
        <v>0</v>
      </c>
      <c r="CP132" s="2">
        <f ca="1">-$O132*LOG(CM132)</f>
        <v>0.28471005528718601</v>
      </c>
      <c r="CQ132" s="2">
        <f t="shared" ca="1" si="16"/>
        <v>0.28471005528718601</v>
      </c>
      <c r="CR132" s="2"/>
      <c r="CS132" s="2">
        <f ca="1">(CK132-'2'!Z132)*'2'!V132</f>
        <v>-3.244163896954067E-3</v>
      </c>
      <c r="CT132" s="2">
        <f>('1'!$I132-$M132)*'2'!W132</f>
        <v>1.0802469135802469E-2</v>
      </c>
      <c r="CU132" s="2">
        <f>('1'!$I132-$M132)*'2'!X132</f>
        <v>2.4482109227871935E-2</v>
      </c>
      <c r="CV132" s="2">
        <f>('1'!$I132-$M132)*'2'!Y132</f>
        <v>2.6234567901234563E-2</v>
      </c>
      <c r="CW132" s="2">
        <f>('1'!$I132-$M132)</f>
        <v>0.33333333333333331</v>
      </c>
      <c r="CX132" s="2">
        <f>('1'!$J132-$N132)*'2'!V132</f>
        <v>2.0576131687242791E-2</v>
      </c>
      <c r="CY132" s="2">
        <f>('1'!$J132-$N132)*'2'!W132</f>
        <v>1.0802469135802469E-2</v>
      </c>
      <c r="CZ132" s="2">
        <f>('1'!$J132-$N132)*'2'!X132</f>
        <v>2.4482109227871935E-2</v>
      </c>
      <c r="DA132" s="2">
        <f>('1'!$J132-$N132)*'2'!Y132</f>
        <v>2.6234567901234563E-2</v>
      </c>
      <c r="DB132" s="2">
        <f>('1'!$J132-$N132)</f>
        <v>0.33333333333333331</v>
      </c>
      <c r="DC132" s="2">
        <f>('1'!$K132-$O132)*'2'!V132</f>
        <v>-4.115226337448559E-2</v>
      </c>
      <c r="DD132" s="2">
        <f>('1'!$K132-$O132)*'2'!W132</f>
        <v>-2.1604938271604941E-2</v>
      </c>
      <c r="DE132" s="2">
        <f>('1'!$K132-$O132)*'2'!X132</f>
        <v>-4.8964218455743877E-2</v>
      </c>
      <c r="DF132" s="2">
        <f>('1'!$K132-$O132)*'2'!Y132</f>
        <v>-5.2469135802469133E-2</v>
      </c>
      <c r="DG132" s="2">
        <f>('1'!$K132-$O132)</f>
        <v>-0.66666666666666674</v>
      </c>
    </row>
    <row r="133" spans="2:111" ht="15" x14ac:dyDescent="0.25">
      <c r="B133" s="1">
        <v>6.7</v>
      </c>
      <c r="C133" s="1">
        <v>3.3</v>
      </c>
      <c r="D133" s="1">
        <v>5.7</v>
      </c>
      <c r="E133" s="1">
        <v>2.1</v>
      </c>
      <c r="F133" s="1" t="s">
        <v>7</v>
      </c>
      <c r="I133" s="2">
        <f>(B133-B$5)/(B$4-B$5)</f>
        <v>0.66666666666666663</v>
      </c>
      <c r="J133" s="2">
        <f>(C133-C$5)/(C$4-C$5)</f>
        <v>0.54166666666666652</v>
      </c>
      <c r="K133" s="2">
        <f>(D133-D$5)/(D$4-D$5)</f>
        <v>0.79661016949152541</v>
      </c>
      <c r="L133" s="2">
        <f>(E133-E$5)/(E$4-E$5)</f>
        <v>0.83333333333333337</v>
      </c>
      <c r="M133" s="3">
        <f>IF($F133=M$8,1,0)</f>
        <v>0</v>
      </c>
      <c r="N133" s="3">
        <f>IF($F133=N$8,1,0)</f>
        <v>0</v>
      </c>
      <c r="O133" s="3">
        <f>IF($F133=O$8,1,0)</f>
        <v>1</v>
      </c>
      <c r="CD133" s="2">
        <f ca="1">CD$2*$I133+CD$3*$J133+CD$4*$K133+CD$5*$L133+CD$6</f>
        <v>0.21052552818637105</v>
      </c>
      <c r="CE133" s="2">
        <f ca="1">CE$2*$I133+CE$3*$J133+CE$4*$K133+CE$5*$L133+CE$6</f>
        <v>1.207519870348886E-2</v>
      </c>
      <c r="CF133" s="2">
        <f ca="1">CF$2*$I133+CF$3*$J133+CF$4*$K133+CF$5*$L133+CF$6</f>
        <v>1.0389893522207874</v>
      </c>
      <c r="CG133" s="2">
        <f t="shared" ca="1" si="12"/>
        <v>1.2343265629385307</v>
      </c>
      <c r="CH133" s="2">
        <f t="shared" ca="1" si="9"/>
        <v>1.0121483982516652</v>
      </c>
      <c r="CI133" s="2">
        <f t="shared" ca="1" si="10"/>
        <v>2.8263591168662248</v>
      </c>
      <c r="CJ133" s="2">
        <f t="shared" ca="1" si="13"/>
        <v>5.0728340780564203</v>
      </c>
      <c r="CK133" s="2">
        <f ca="1">CG133/'1'!$H133</f>
        <v>0.28029449964685604</v>
      </c>
      <c r="CL133" s="2">
        <f t="shared" ca="1" si="14"/>
        <v>0.19952326109578861</v>
      </c>
      <c r="CM133" s="2">
        <f t="shared" ca="1" si="15"/>
        <v>0.55715583702850013</v>
      </c>
      <c r="CN133" s="2">
        <f ca="1">-$M133*LOG(CK133)</f>
        <v>0</v>
      </c>
      <c r="CO133" s="2">
        <f ca="1">-$N133*LOG(CL133)</f>
        <v>0</v>
      </c>
      <c r="CP133" s="2">
        <f ca="1">-$O133*LOG(CM133)</f>
        <v>0.25402331524690369</v>
      </c>
      <c r="CQ133" s="2">
        <f t="shared" ca="1" si="16"/>
        <v>0.25402331524690369</v>
      </c>
      <c r="CR133" s="2"/>
      <c r="CS133" s="2">
        <f ca="1">(CK133-'2'!Z133)*'2'!V133</f>
        <v>-3.9288024952946121E-3</v>
      </c>
      <c r="CT133" s="2">
        <f>('1'!$I133-$M133)*'2'!W133</f>
        <v>2.006172839506172E-2</v>
      </c>
      <c r="CU133" s="2">
        <f>('1'!$I133-$M133)*'2'!X133</f>
        <v>2.9504080351537974E-2</v>
      </c>
      <c r="CV133" s="2">
        <f>('1'!$I133-$M133)*'2'!Y133</f>
        <v>3.0864197530864196E-2</v>
      </c>
      <c r="CW133" s="2">
        <f>('1'!$I133-$M133)</f>
        <v>0.33333333333333331</v>
      </c>
      <c r="CX133" s="2">
        <f>('1'!$J133-$N133)*'2'!V133</f>
        <v>2.4691358024691357E-2</v>
      </c>
      <c r="CY133" s="2">
        <f>('1'!$J133-$N133)*'2'!W133</f>
        <v>2.006172839506172E-2</v>
      </c>
      <c r="CZ133" s="2">
        <f>('1'!$J133-$N133)*'2'!X133</f>
        <v>2.9504080351537974E-2</v>
      </c>
      <c r="DA133" s="2">
        <f>('1'!$J133-$N133)*'2'!Y133</f>
        <v>3.0864197530864196E-2</v>
      </c>
      <c r="DB133" s="2">
        <f>('1'!$J133-$N133)</f>
        <v>0.33333333333333331</v>
      </c>
      <c r="DC133" s="2">
        <f>('1'!$K133-$O133)*'2'!V133</f>
        <v>-4.938271604938272E-2</v>
      </c>
      <c r="DD133" s="2">
        <f>('1'!$K133-$O133)*'2'!W133</f>
        <v>-4.0123456790123448E-2</v>
      </c>
      <c r="DE133" s="2">
        <f>('1'!$K133-$O133)*'2'!X133</f>
        <v>-5.9008160703075963E-2</v>
      </c>
      <c r="DF133" s="2">
        <f>('1'!$K133-$O133)*'2'!Y133</f>
        <v>-6.1728395061728399E-2</v>
      </c>
      <c r="DG133" s="2">
        <f>('1'!$K133-$O133)</f>
        <v>-0.66666666666666674</v>
      </c>
    </row>
    <row r="134" spans="2:111" ht="15" x14ac:dyDescent="0.25">
      <c r="B134" s="1">
        <v>7.2</v>
      </c>
      <c r="C134" s="1">
        <v>3.2</v>
      </c>
      <c r="D134" s="1">
        <v>6</v>
      </c>
      <c r="E134" s="1">
        <v>1.8</v>
      </c>
      <c r="F134" s="1" t="s">
        <v>7</v>
      </c>
      <c r="I134" s="2">
        <f>(B134-B$5)/(B$4-B$5)</f>
        <v>0.80555555555555558</v>
      </c>
      <c r="J134" s="2">
        <f>(C134-C$5)/(C$4-C$5)</f>
        <v>0.5</v>
      </c>
      <c r="K134" s="2">
        <f>(D134-D$5)/(D$4-D$5)</f>
        <v>0.84745762711864403</v>
      </c>
      <c r="L134" s="2">
        <f>(E134-E$5)/(E$4-E$5)</f>
        <v>0.70833333333333337</v>
      </c>
      <c r="M134" s="3">
        <f>IF($F134=M$8,1,0)</f>
        <v>0</v>
      </c>
      <c r="N134" s="3">
        <f>IF($F134=N$8,1,0)</f>
        <v>0</v>
      </c>
      <c r="O134" s="3">
        <f>IF($F134=O$8,1,0)</f>
        <v>1</v>
      </c>
      <c r="CD134" s="2">
        <f ca="1">CD$2*$I134+CD$3*$J134+CD$4*$K134+CD$5*$L134+CD$6</f>
        <v>0.2253332036796018</v>
      </c>
      <c r="CE134" s="2">
        <f ca="1">CE$2*$I134+CE$3*$J134+CE$4*$K134+CE$5*$L134+CE$6</f>
        <v>1.5985949056176146E-2</v>
      </c>
      <c r="CF134" s="2">
        <f ca="1">CF$2*$I134+CF$3*$J134+CF$4*$K134+CF$5*$L134+CF$6</f>
        <v>1.045276524124533</v>
      </c>
      <c r="CG134" s="2">
        <f t="shared" ca="1" si="12"/>
        <v>1.2527400642560425</v>
      </c>
      <c r="CH134" s="2">
        <f t="shared" ca="1" si="9"/>
        <v>1.0161144079393245</v>
      </c>
      <c r="CI134" s="2">
        <f t="shared" ca="1" si="10"/>
        <v>2.8441849006603164</v>
      </c>
      <c r="CJ134" s="2">
        <f t="shared" ca="1" si="13"/>
        <v>5.1130393728556829</v>
      </c>
      <c r="CK134" s="2">
        <f ca="1">CG134/'1'!$H134</f>
        <v>0.28382037123296677</v>
      </c>
      <c r="CL134" s="2">
        <f t="shared" ca="1" si="14"/>
        <v>0.19873001826148948</v>
      </c>
      <c r="CM134" s="2">
        <f t="shared" ca="1" si="15"/>
        <v>0.5562610989775757</v>
      </c>
      <c r="CN134" s="2">
        <f ca="1">-$M134*LOG(CK134)</f>
        <v>0</v>
      </c>
      <c r="CO134" s="2">
        <f ca="1">-$N134*LOG(CL134)</f>
        <v>0</v>
      </c>
      <c r="CP134" s="2">
        <f ca="1">-$O134*LOG(CM134)</f>
        <v>0.2547213105249409</v>
      </c>
      <c r="CQ134" s="2">
        <f t="shared" ca="1" si="16"/>
        <v>0.2547213105249409</v>
      </c>
      <c r="CR134" s="2"/>
      <c r="CS134" s="2">
        <f ca="1">(CK134-'2'!Z134)*'2'!V134</f>
        <v>-4.4317157435513257E-3</v>
      </c>
      <c r="CT134" s="2">
        <f>('1'!$I134-$M134)*'2'!W134</f>
        <v>1.8518518518518517E-2</v>
      </c>
      <c r="CU134" s="2">
        <f>('1'!$I134-$M134)*'2'!X134</f>
        <v>3.1387319522912738E-2</v>
      </c>
      <c r="CV134" s="2">
        <f>('1'!$I134-$M134)*'2'!Y134</f>
        <v>2.6234567901234563E-2</v>
      </c>
      <c r="CW134" s="2">
        <f>('1'!$I134-$M134)</f>
        <v>0.33333333333333331</v>
      </c>
      <c r="CX134" s="2">
        <f>('1'!$J134-$N134)*'2'!V134</f>
        <v>2.983539094650205E-2</v>
      </c>
      <c r="CY134" s="2">
        <f>('1'!$J134-$N134)*'2'!W134</f>
        <v>1.8518518518518517E-2</v>
      </c>
      <c r="CZ134" s="2">
        <f>('1'!$J134-$N134)*'2'!X134</f>
        <v>3.1387319522912738E-2</v>
      </c>
      <c r="DA134" s="2">
        <f>('1'!$J134-$N134)*'2'!Y134</f>
        <v>2.6234567901234563E-2</v>
      </c>
      <c r="DB134" s="2">
        <f>('1'!$J134-$N134)</f>
        <v>0.33333333333333331</v>
      </c>
      <c r="DC134" s="2">
        <f>('1'!$K134-$O134)*'2'!V134</f>
        <v>-5.9670781893004107E-2</v>
      </c>
      <c r="DD134" s="2">
        <f>('1'!$K134-$O134)*'2'!W134</f>
        <v>-3.7037037037037042E-2</v>
      </c>
      <c r="DE134" s="2">
        <f>('1'!$K134-$O134)*'2'!X134</f>
        <v>-6.2774639045825489E-2</v>
      </c>
      <c r="DF134" s="2">
        <f>('1'!$K134-$O134)*'2'!Y134</f>
        <v>-5.2469135802469133E-2</v>
      </c>
      <c r="DG134" s="2">
        <f>('1'!$K134-$O134)</f>
        <v>-0.66666666666666674</v>
      </c>
    </row>
    <row r="135" spans="2:111" ht="15" x14ac:dyDescent="0.25">
      <c r="B135" s="1">
        <v>6.2</v>
      </c>
      <c r="C135" s="1">
        <v>2.8</v>
      </c>
      <c r="D135" s="1">
        <v>4.8</v>
      </c>
      <c r="E135" s="1">
        <v>1.8</v>
      </c>
      <c r="F135" s="1" t="s">
        <v>7</v>
      </c>
      <c r="I135" s="2">
        <f>(B135-B$5)/(B$4-B$5)</f>
        <v>0.52777777777777779</v>
      </c>
      <c r="J135" s="2">
        <f>(C135-C$5)/(C$4-C$5)</f>
        <v>0.3333333333333332</v>
      </c>
      <c r="K135" s="2">
        <f>(D135-D$5)/(D$4-D$5)</f>
        <v>0.64406779661016944</v>
      </c>
      <c r="L135" s="2">
        <f>(E135-E$5)/(E$4-E$5)</f>
        <v>0.70833333333333337</v>
      </c>
      <c r="M135" s="3">
        <f>IF($F135=M$8,1,0)</f>
        <v>0</v>
      </c>
      <c r="N135" s="3">
        <f>IF($F135=N$8,1,0)</f>
        <v>0</v>
      </c>
      <c r="O135" s="3">
        <f>IF($F135=O$8,1,0)</f>
        <v>1</v>
      </c>
      <c r="CD135" s="2">
        <f ca="1">CD$2*$I135+CD$3*$J135+CD$4*$K135+CD$5*$L135+CD$6</f>
        <v>0.1581453680002321</v>
      </c>
      <c r="CE135" s="2">
        <f ca="1">CE$2*$I135+CE$3*$J135+CE$4*$K135+CE$5*$L135+CE$6</f>
        <v>3.7229509004107472E-2</v>
      </c>
      <c r="CF135" s="2">
        <f ca="1">CF$2*$I135+CF$3*$J135+CF$4*$K135+CF$5*$L135+CF$6</f>
        <v>0.85641269455684177</v>
      </c>
      <c r="CG135" s="2">
        <f t="shared" ca="1" si="12"/>
        <v>1.1713364571703906</v>
      </c>
      <c r="CH135" s="2">
        <f t="shared" ca="1" si="9"/>
        <v>1.0379312080619496</v>
      </c>
      <c r="CI135" s="2">
        <f t="shared" ca="1" si="10"/>
        <v>2.3546985017945832</v>
      </c>
      <c r="CJ135" s="2">
        <f t="shared" ca="1" si="13"/>
        <v>4.5639661670269227</v>
      </c>
      <c r="CK135" s="2">
        <f ca="1">CG135/'1'!$H135</f>
        <v>0.28313877096057388</v>
      </c>
      <c r="CL135" s="2">
        <f t="shared" ca="1" si="14"/>
        <v>0.22741869025249214</v>
      </c>
      <c r="CM135" s="2">
        <f t="shared" ca="1" si="15"/>
        <v>0.51593250598710949</v>
      </c>
      <c r="CN135" s="2">
        <f ca="1">-$M135*LOG(CK135)</f>
        <v>0</v>
      </c>
      <c r="CO135" s="2">
        <f ca="1">-$N135*LOG(CL135)</f>
        <v>0</v>
      </c>
      <c r="CP135" s="2">
        <f ca="1">-$O135*LOG(CM135)</f>
        <v>0.28740710882740966</v>
      </c>
      <c r="CQ135" s="2">
        <f t="shared" ca="1" si="16"/>
        <v>0.28740710882740966</v>
      </c>
      <c r="CR135" s="2"/>
      <c r="CS135" s="2">
        <f ca="1">(CK135-'2'!Z135)*'2'!V135</f>
        <v>-2.9435082872914481E-3</v>
      </c>
      <c r="CT135" s="2">
        <f>('1'!$I135-$M135)*'2'!W135</f>
        <v>1.2345679012345673E-2</v>
      </c>
      <c r="CU135" s="2">
        <f>('1'!$I135-$M135)*'2'!X135</f>
        <v>2.3854362837413677E-2</v>
      </c>
      <c r="CV135" s="2">
        <f>('1'!$I135-$M135)*'2'!Y135</f>
        <v>2.6234567901234563E-2</v>
      </c>
      <c r="CW135" s="2">
        <f>('1'!$I135-$M135)</f>
        <v>0.33333333333333331</v>
      </c>
      <c r="CX135" s="2">
        <f>('1'!$J135-$N135)*'2'!V135</f>
        <v>1.9547325102880656E-2</v>
      </c>
      <c r="CY135" s="2">
        <f>('1'!$J135-$N135)*'2'!W135</f>
        <v>1.2345679012345673E-2</v>
      </c>
      <c r="CZ135" s="2">
        <f>('1'!$J135-$N135)*'2'!X135</f>
        <v>2.3854362837413677E-2</v>
      </c>
      <c r="DA135" s="2">
        <f>('1'!$J135-$N135)*'2'!Y135</f>
        <v>2.6234567901234563E-2</v>
      </c>
      <c r="DB135" s="2">
        <f>('1'!$J135-$N135)</f>
        <v>0.33333333333333331</v>
      </c>
      <c r="DC135" s="2">
        <f>('1'!$K135-$O135)*'2'!V135</f>
        <v>-3.9094650205761319E-2</v>
      </c>
      <c r="DD135" s="2">
        <f>('1'!$K135-$O135)*'2'!W135</f>
        <v>-2.469135802469135E-2</v>
      </c>
      <c r="DE135" s="2">
        <f>('1'!$K135-$O135)*'2'!X135</f>
        <v>-4.7708725674827361E-2</v>
      </c>
      <c r="DF135" s="2">
        <f>('1'!$K135-$O135)*'2'!Y135</f>
        <v>-5.2469135802469133E-2</v>
      </c>
      <c r="DG135" s="2">
        <f>('1'!$K135-$O135)</f>
        <v>-0.66666666666666674</v>
      </c>
    </row>
    <row r="136" spans="2:111" ht="15" x14ac:dyDescent="0.25">
      <c r="B136" s="1">
        <v>6.1</v>
      </c>
      <c r="C136" s="1">
        <v>3</v>
      </c>
      <c r="D136" s="1">
        <v>4.9000000000000004</v>
      </c>
      <c r="E136" s="1">
        <v>1.8</v>
      </c>
      <c r="F136" s="1" t="s">
        <v>7</v>
      </c>
      <c r="I136" s="2">
        <f>(B136-B$5)/(B$4-B$5)</f>
        <v>0.49999999999999989</v>
      </c>
      <c r="J136" s="2">
        <f>(C136-C$5)/(C$4-C$5)</f>
        <v>0.41666666666666663</v>
      </c>
      <c r="K136" s="2">
        <f>(D136-D$5)/(D$4-D$5)</f>
        <v>0.66101694915254239</v>
      </c>
      <c r="L136" s="2">
        <f>(E136-E$5)/(E$4-E$5)</f>
        <v>0.70833333333333337</v>
      </c>
      <c r="M136" s="3">
        <f>IF($F136=M$8,1,0)</f>
        <v>0</v>
      </c>
      <c r="N136" s="3">
        <f>IF($F136=N$8,1,0)</f>
        <v>0</v>
      </c>
      <c r="O136" s="3">
        <f>IF($F136=O$8,1,0)</f>
        <v>1</v>
      </c>
      <c r="CD136" s="2">
        <f ca="1">CD$2*$I136+CD$3*$J136+CD$4*$K136+CD$5*$L136+CD$6</f>
        <v>0.17466844095199224</v>
      </c>
      <c r="CE136" s="2">
        <f ca="1">CE$2*$I136+CE$3*$J136+CE$4*$K136+CE$5*$L136+CE$6</f>
        <v>3.1178296355185139E-2</v>
      </c>
      <c r="CF136" s="2">
        <f ca="1">CF$2*$I136+CF$3*$J136+CF$4*$K136+CF$5*$L136+CF$6</f>
        <v>0.86521889065068547</v>
      </c>
      <c r="CG136" s="2">
        <f t="shared" ca="1" si="12"/>
        <v>1.1908513136212828</v>
      </c>
      <c r="CH136" s="2">
        <f t="shared" ca="1" si="9"/>
        <v>1.0316694303885172</v>
      </c>
      <c r="CI136" s="2">
        <f t="shared" ca="1" si="10"/>
        <v>2.3755260095057773</v>
      </c>
      <c r="CJ136" s="2">
        <f t="shared" ca="1" si="13"/>
        <v>4.5980467535155771</v>
      </c>
      <c r="CK136" s="2">
        <f ca="1">CG136/'1'!$H136</f>
        <v>0.28577641414363214</v>
      </c>
      <c r="CL136" s="2">
        <f t="shared" ca="1" si="14"/>
        <v>0.22437123537287279</v>
      </c>
      <c r="CM136" s="2">
        <f t="shared" ca="1" si="15"/>
        <v>0.51663807195729283</v>
      </c>
      <c r="CN136" s="2">
        <f ca="1">-$M136*LOG(CK136)</f>
        <v>0</v>
      </c>
      <c r="CO136" s="2">
        <f ca="1">-$N136*LOG(CL136)</f>
        <v>0</v>
      </c>
      <c r="CP136" s="2">
        <f ca="1">-$O136*LOG(CM136)</f>
        <v>0.28681359306837967</v>
      </c>
      <c r="CQ136" s="2">
        <f t="shared" ca="1" si="16"/>
        <v>0.28681359306837967</v>
      </c>
      <c r="CR136" s="2"/>
      <c r="CS136" s="2">
        <f ca="1">(CK136-'2'!Z136)*'2'!V136</f>
        <v>-2.6420510660945091E-3</v>
      </c>
      <c r="CT136" s="2">
        <f>('1'!$I136-$M136)*'2'!W136</f>
        <v>1.5432098765432094E-2</v>
      </c>
      <c r="CU136" s="2">
        <f>('1'!$I136-$M136)*'2'!X136</f>
        <v>2.4482109227871935E-2</v>
      </c>
      <c r="CV136" s="2">
        <f>('1'!$I136-$M136)*'2'!Y136</f>
        <v>2.6234567901234563E-2</v>
      </c>
      <c r="CW136" s="2">
        <f>('1'!$I136-$M136)</f>
        <v>0.33333333333333331</v>
      </c>
      <c r="CX136" s="2">
        <f>('1'!$J136-$N136)*'2'!V136</f>
        <v>1.8518518518518511E-2</v>
      </c>
      <c r="CY136" s="2">
        <f>('1'!$J136-$N136)*'2'!W136</f>
        <v>1.5432098765432094E-2</v>
      </c>
      <c r="CZ136" s="2">
        <f>('1'!$J136-$N136)*'2'!X136</f>
        <v>2.4482109227871935E-2</v>
      </c>
      <c r="DA136" s="2">
        <f>('1'!$J136-$N136)*'2'!Y136</f>
        <v>2.6234567901234563E-2</v>
      </c>
      <c r="DB136" s="2">
        <f>('1'!$J136-$N136)</f>
        <v>0.33333333333333331</v>
      </c>
      <c r="DC136" s="2">
        <f>('1'!$K136-$O136)*'2'!V136</f>
        <v>-3.7037037037037028E-2</v>
      </c>
      <c r="DD136" s="2">
        <f>('1'!$K136-$O136)*'2'!W136</f>
        <v>-3.0864197530864196E-2</v>
      </c>
      <c r="DE136" s="2">
        <f>('1'!$K136-$O136)*'2'!X136</f>
        <v>-4.8964218455743877E-2</v>
      </c>
      <c r="DF136" s="2">
        <f>('1'!$K136-$O136)*'2'!Y136</f>
        <v>-5.2469135802469133E-2</v>
      </c>
      <c r="DG136" s="2">
        <f>('1'!$K136-$O136)</f>
        <v>-0.66666666666666674</v>
      </c>
    </row>
    <row r="137" spans="2:111" ht="15" x14ac:dyDescent="0.25">
      <c r="B137" s="1">
        <v>6.4</v>
      </c>
      <c r="C137" s="1">
        <v>2.8</v>
      </c>
      <c r="D137" s="1">
        <v>5.6</v>
      </c>
      <c r="E137" s="1">
        <v>2.1</v>
      </c>
      <c r="F137" s="1" t="s">
        <v>7</v>
      </c>
      <c r="I137" s="2">
        <f>(B137-B$5)/(B$4-B$5)</f>
        <v>0.58333333333333337</v>
      </c>
      <c r="J137" s="2">
        <f>(C137-C$5)/(C$4-C$5)</f>
        <v>0.3333333333333332</v>
      </c>
      <c r="K137" s="2">
        <f>(D137-D$5)/(D$4-D$5)</f>
        <v>0.77966101694915246</v>
      </c>
      <c r="L137" s="2">
        <f>(E137-E$5)/(E$4-E$5)</f>
        <v>0.83333333333333337</v>
      </c>
      <c r="M137" s="3">
        <f>IF($F137=M$8,1,0)</f>
        <v>0</v>
      </c>
      <c r="N137" s="3">
        <f>IF($F137=N$8,1,0)</f>
        <v>0</v>
      </c>
      <c r="O137" s="3">
        <f>IF($F137=O$8,1,0)</f>
        <v>1</v>
      </c>
      <c r="CD137" s="2">
        <f ca="1">CD$2*$I137+CD$3*$J137+CD$4*$K137+CD$5*$L137+CD$6</f>
        <v>0.1466724523956906</v>
      </c>
      <c r="CE137" s="2">
        <f ca="1">CE$2*$I137+CE$3*$J137+CE$4*$K137+CE$5*$L137+CE$6</f>
        <v>3.2887228237236735E-2</v>
      </c>
      <c r="CF137" s="2">
        <f ca="1">CF$2*$I137+CF$3*$J137+CF$4*$K137+CF$5*$L137+CF$6</f>
        <v>0.97916662780122909</v>
      </c>
      <c r="CG137" s="2">
        <f t="shared" ca="1" si="12"/>
        <v>1.1579746090959504</v>
      </c>
      <c r="CH137" s="2">
        <f t="shared" ref="CH137:CH158" ca="1" si="17">EXP(CE137)</f>
        <v>1.0334339904969174</v>
      </c>
      <c r="CI137" s="2">
        <f t="shared" ref="CI137:CI158" ca="1" si="18">EXP(CF137)</f>
        <v>2.6622366831602959</v>
      </c>
      <c r="CJ137" s="2">
        <f t="shared" ca="1" si="13"/>
        <v>4.8536452827531633</v>
      </c>
      <c r="CK137" s="2">
        <f ca="1">CG137/'1'!$H137</f>
        <v>0.27119804328510899</v>
      </c>
      <c r="CL137" s="2">
        <f t="shared" ca="1" si="14"/>
        <v>0.21291914227211847</v>
      </c>
      <c r="CM137" s="2">
        <f t="shared" ca="1" si="15"/>
        <v>0.54850252296356083</v>
      </c>
      <c r="CN137" s="2">
        <f ca="1">-$M137*LOG(CK137)</f>
        <v>0</v>
      </c>
      <c r="CO137" s="2">
        <f ca="1">-$N137*LOG(CL137)</f>
        <v>0</v>
      </c>
      <c r="CP137" s="2">
        <f ca="1">-$O137*LOG(CM137)</f>
        <v>0.26082137044727821</v>
      </c>
      <c r="CQ137" s="2">
        <f t="shared" ref="CQ137:CQ168" ca="1" si="19">SUM(CN137:CP137)</f>
        <v>0.26082137044727821</v>
      </c>
      <c r="CR137" s="2"/>
      <c r="CS137" s="2">
        <f ca="1">(CK137-'2'!Z137)*'2'!V137</f>
        <v>-4.0272873179404648E-3</v>
      </c>
      <c r="CT137" s="2">
        <f>('1'!$I137-$M137)*'2'!W137</f>
        <v>1.2345679012345673E-2</v>
      </c>
      <c r="CU137" s="2">
        <f>('1'!$I137-$M137)*'2'!X137</f>
        <v>2.8876333961079713E-2</v>
      </c>
      <c r="CV137" s="2">
        <f>('1'!$I137-$M137)*'2'!Y137</f>
        <v>3.0864197530864196E-2</v>
      </c>
      <c r="CW137" s="2">
        <f>('1'!$I137-$M137)</f>
        <v>0.33333333333333331</v>
      </c>
      <c r="CX137" s="2">
        <f>('1'!$J137-$N137)*'2'!V137</f>
        <v>2.1604938271604937E-2</v>
      </c>
      <c r="CY137" s="2">
        <f>('1'!$J137-$N137)*'2'!W137</f>
        <v>1.2345679012345673E-2</v>
      </c>
      <c r="CZ137" s="2">
        <f>('1'!$J137-$N137)*'2'!X137</f>
        <v>2.8876333961079713E-2</v>
      </c>
      <c r="DA137" s="2">
        <f>('1'!$J137-$N137)*'2'!Y137</f>
        <v>3.0864197530864196E-2</v>
      </c>
      <c r="DB137" s="2">
        <f>('1'!$J137-$N137)</f>
        <v>0.33333333333333331</v>
      </c>
      <c r="DC137" s="2">
        <f>('1'!$K137-$O137)*'2'!V137</f>
        <v>-4.3209876543209881E-2</v>
      </c>
      <c r="DD137" s="2">
        <f>('1'!$K137-$O137)*'2'!W137</f>
        <v>-2.469135802469135E-2</v>
      </c>
      <c r="DE137" s="2">
        <f>('1'!$K137-$O137)*'2'!X137</f>
        <v>-5.775266792215944E-2</v>
      </c>
      <c r="DF137" s="2">
        <f>('1'!$K137-$O137)*'2'!Y137</f>
        <v>-6.1728395061728399E-2</v>
      </c>
      <c r="DG137" s="2">
        <f>('1'!$K137-$O137)</f>
        <v>-0.66666666666666674</v>
      </c>
    </row>
    <row r="138" spans="2:111" ht="15" x14ac:dyDescent="0.25">
      <c r="B138" s="1">
        <v>7.2</v>
      </c>
      <c r="C138" s="1">
        <v>3</v>
      </c>
      <c r="D138" s="1">
        <v>5.8</v>
      </c>
      <c r="E138" s="1">
        <v>1.6</v>
      </c>
      <c r="F138" s="1" t="s">
        <v>7</v>
      </c>
      <c r="I138" s="2">
        <f>(B138-B$5)/(B$4-B$5)</f>
        <v>0.80555555555555558</v>
      </c>
      <c r="J138" s="2">
        <f>(C138-C$5)/(C$4-C$5)</f>
        <v>0.41666666666666663</v>
      </c>
      <c r="K138" s="2">
        <f>(D138-D$5)/(D$4-D$5)</f>
        <v>0.81355932203389825</v>
      </c>
      <c r="L138" s="2">
        <f>(E138-E$5)/(E$4-E$5)</f>
        <v>0.625</v>
      </c>
      <c r="M138" s="3">
        <f>IF($F138=M$8,1,0)</f>
        <v>0</v>
      </c>
      <c r="N138" s="3">
        <f>IF($F138=N$8,1,0)</f>
        <v>0</v>
      </c>
      <c r="O138" s="3">
        <f>IF($F138=O$8,1,0)</f>
        <v>1</v>
      </c>
      <c r="CD138" s="2">
        <f ca="1">CD$2*$I138+CD$3*$J138+CD$4*$K138+CD$5*$L138+CD$6</f>
        <v>0.21280904211529905</v>
      </c>
      <c r="CE138" s="2">
        <f ca="1">CE$2*$I138+CE$3*$J138+CE$4*$K138+CE$5*$L138+CE$6</f>
        <v>2.5674302607278127E-2</v>
      </c>
      <c r="CF138" s="2">
        <f ca="1">CF$2*$I138+CF$3*$J138+CF$4*$K138+CF$5*$L138+CF$6</f>
        <v>0.98651336220446595</v>
      </c>
      <c r="CG138" s="2">
        <f t="shared" ref="CG138:CG158" ca="1" si="20">EXP(CD138)</f>
        <v>1.2371483854471641</v>
      </c>
      <c r="CH138" s="2">
        <f t="shared" ca="1" si="17"/>
        <v>1.026006726333075</v>
      </c>
      <c r="CI138" s="2">
        <f t="shared" ca="1" si="18"/>
        <v>2.6818674517147052</v>
      </c>
      <c r="CJ138" s="2">
        <f t="shared" ref="CJ138:CJ158" ca="1" si="21">SUM(CG138:CI138)</f>
        <v>4.9450225634949447</v>
      </c>
      <c r="CK138" s="2">
        <f ca="1">CG138/'1'!$H138</f>
        <v>0.28596627320337159</v>
      </c>
      <c r="CL138" s="2">
        <f t="shared" ref="CL138:CL158" ca="1" si="22">CH138/CJ138</f>
        <v>0.2074827188670974</v>
      </c>
      <c r="CM138" s="2">
        <f t="shared" ref="CM138:CM158" ca="1" si="23">CI138/CJ138</f>
        <v>0.54233674715920166</v>
      </c>
      <c r="CN138" s="2">
        <f ca="1">-$M138*LOG(CK138)</f>
        <v>0</v>
      </c>
      <c r="CO138" s="2">
        <f ca="1">-$N138*LOG(CL138)</f>
        <v>0</v>
      </c>
      <c r="CP138" s="2">
        <f ca="1">-$O138*LOG(CM138)</f>
        <v>0.26573096803774426</v>
      </c>
      <c r="CQ138" s="2">
        <f t="shared" ca="1" si="19"/>
        <v>0.26573096803774426</v>
      </c>
      <c r="CR138" s="2"/>
      <c r="CS138" s="2">
        <f ca="1">(CK138-'2'!Z138)*'2'!V138</f>
        <v>-4.2396442708916345E-3</v>
      </c>
      <c r="CT138" s="2">
        <f>('1'!$I138-$M138)*'2'!W138</f>
        <v>1.5432098765432094E-2</v>
      </c>
      <c r="CU138" s="2">
        <f>('1'!$I138-$M138)*'2'!X138</f>
        <v>3.0131826741996222E-2</v>
      </c>
      <c r="CV138" s="2">
        <f>('1'!$I138-$M138)*'2'!Y138</f>
        <v>2.3148148148148143E-2</v>
      </c>
      <c r="CW138" s="2">
        <f>('1'!$I138-$M138)</f>
        <v>0.33333333333333331</v>
      </c>
      <c r="CX138" s="2">
        <f>('1'!$J138-$N138)*'2'!V138</f>
        <v>2.983539094650205E-2</v>
      </c>
      <c r="CY138" s="2">
        <f>('1'!$J138-$N138)*'2'!W138</f>
        <v>1.5432098765432094E-2</v>
      </c>
      <c r="CZ138" s="2">
        <f>('1'!$J138-$N138)*'2'!X138</f>
        <v>3.0131826741996222E-2</v>
      </c>
      <c r="DA138" s="2">
        <f>('1'!$J138-$N138)*'2'!Y138</f>
        <v>2.3148148148148143E-2</v>
      </c>
      <c r="DB138" s="2">
        <f>('1'!$J138-$N138)</f>
        <v>0.33333333333333331</v>
      </c>
      <c r="DC138" s="2">
        <f>('1'!$K138-$O138)*'2'!V138</f>
        <v>-5.9670781893004107E-2</v>
      </c>
      <c r="DD138" s="2">
        <f>('1'!$K138-$O138)*'2'!W138</f>
        <v>-3.0864197530864196E-2</v>
      </c>
      <c r="DE138" s="2">
        <f>('1'!$K138-$O138)*'2'!X138</f>
        <v>-6.0263653483992458E-2</v>
      </c>
      <c r="DF138" s="2">
        <f>('1'!$K138-$O138)*'2'!Y138</f>
        <v>-4.6296296296296294E-2</v>
      </c>
      <c r="DG138" s="2">
        <f>('1'!$K138-$O138)</f>
        <v>-0.66666666666666674</v>
      </c>
    </row>
    <row r="139" spans="2:111" ht="15" x14ac:dyDescent="0.25">
      <c r="B139" s="1">
        <v>7.4</v>
      </c>
      <c r="C139" s="1">
        <v>2.8</v>
      </c>
      <c r="D139" s="1">
        <v>6.1</v>
      </c>
      <c r="E139" s="1">
        <v>1.9</v>
      </c>
      <c r="F139" s="1" t="s">
        <v>7</v>
      </c>
      <c r="I139" s="2">
        <f>(B139-B$5)/(B$4-B$5)</f>
        <v>0.86111111111111116</v>
      </c>
      <c r="J139" s="2">
        <f>(C139-C$5)/(C$4-C$5)</f>
        <v>0.3333333333333332</v>
      </c>
      <c r="K139" s="2">
        <f>(D139-D$5)/(D$4-D$5)</f>
        <v>0.86440677966101687</v>
      </c>
      <c r="L139" s="2">
        <f>(E139-E$5)/(E$4-E$5)</f>
        <v>0.75</v>
      </c>
      <c r="M139" s="3">
        <f>IF($F139=M$8,1,0)</f>
        <v>0</v>
      </c>
      <c r="N139" s="3">
        <f>IF($F139=N$8,1,0)</f>
        <v>0</v>
      </c>
      <c r="O139" s="3">
        <f>IF($F139=O$8,1,0)</f>
        <v>1</v>
      </c>
      <c r="CD139" s="2">
        <f ca="1">CD$2*$I139+CD$3*$J139+CD$4*$K139+CD$5*$L139+CD$6</f>
        <v>0.1855581938315479</v>
      </c>
      <c r="CE139" s="2">
        <f ca="1">CE$2*$I139+CE$3*$J139+CE$4*$K139+CE$5*$L139+CE$6</f>
        <v>2.7367135087168606E-2</v>
      </c>
      <c r="CF139" s="2">
        <f ca="1">CF$2*$I139+CF$3*$J139+CF$4*$K139+CF$5*$L139+CF$6</f>
        <v>1.0650126900481327</v>
      </c>
      <c r="CG139" s="2">
        <f t="shared" ca="1" si="20"/>
        <v>1.2038902567234755</v>
      </c>
      <c r="CH139" s="2">
        <f t="shared" ca="1" si="17"/>
        <v>1.0277450547782994</v>
      </c>
      <c r="CI139" s="2">
        <f t="shared" ca="1" si="18"/>
        <v>2.9008757960795397</v>
      </c>
      <c r="CJ139" s="2">
        <f t="shared" ca="1" si="21"/>
        <v>5.1325111075813146</v>
      </c>
      <c r="CK139" s="2">
        <f ca="1">CG139/'1'!$H139</f>
        <v>0.27418856461964886</v>
      </c>
      <c r="CL139" s="2">
        <f t="shared" ca="1" si="22"/>
        <v>0.20024214916168434</v>
      </c>
      <c r="CM139" s="2">
        <f t="shared" ca="1" si="23"/>
        <v>0.56519620421173755</v>
      </c>
      <c r="CN139" s="2">
        <f ca="1">-$M139*LOG(CK139)</f>
        <v>0</v>
      </c>
      <c r="CO139" s="2">
        <f ca="1">-$N139*LOG(CL139)</f>
        <v>0</v>
      </c>
      <c r="CP139" s="2">
        <f ca="1">-$O139*LOG(CM139)</f>
        <v>0.24780076348206423</v>
      </c>
      <c r="CQ139" s="2">
        <f t="shared" ca="1" si="19"/>
        <v>0.24780076348206423</v>
      </c>
      <c r="CR139" s="2"/>
      <c r="CS139" s="2">
        <f ca="1">(CK139-'2'!Z139)*'2'!V139</f>
        <v>-5.6589130559389451E-3</v>
      </c>
      <c r="CT139" s="2">
        <f>('1'!$I139-$M139)*'2'!W139</f>
        <v>1.2345679012345673E-2</v>
      </c>
      <c r="CU139" s="2">
        <f>('1'!$I139-$M139)*'2'!X139</f>
        <v>3.2015065913370985E-2</v>
      </c>
      <c r="CV139" s="2">
        <f>('1'!$I139-$M139)*'2'!Y139</f>
        <v>2.7777777777777776E-2</v>
      </c>
      <c r="CW139" s="2">
        <f>('1'!$I139-$M139)</f>
        <v>0.33333333333333331</v>
      </c>
      <c r="CX139" s="2">
        <f>('1'!$J139-$N139)*'2'!V139</f>
        <v>3.1893004115226331E-2</v>
      </c>
      <c r="CY139" s="2">
        <f>('1'!$J139-$N139)*'2'!W139</f>
        <v>1.2345679012345673E-2</v>
      </c>
      <c r="CZ139" s="2">
        <f>('1'!$J139-$N139)*'2'!X139</f>
        <v>3.2015065913370985E-2</v>
      </c>
      <c r="DA139" s="2">
        <f>('1'!$J139-$N139)*'2'!Y139</f>
        <v>2.7777777777777776E-2</v>
      </c>
      <c r="DB139" s="2">
        <f>('1'!$J139-$N139)</f>
        <v>0.33333333333333331</v>
      </c>
      <c r="DC139" s="2">
        <f>('1'!$K139-$O139)*'2'!V139</f>
        <v>-6.3786008230452676E-2</v>
      </c>
      <c r="DD139" s="2">
        <f>('1'!$K139-$O139)*'2'!W139</f>
        <v>-2.469135802469135E-2</v>
      </c>
      <c r="DE139" s="2">
        <f>('1'!$K139-$O139)*'2'!X139</f>
        <v>-6.4030131826741984E-2</v>
      </c>
      <c r="DF139" s="2">
        <f>('1'!$K139-$O139)*'2'!Y139</f>
        <v>-5.5555555555555559E-2</v>
      </c>
      <c r="DG139" s="2">
        <f>('1'!$K139-$O139)</f>
        <v>-0.66666666666666674</v>
      </c>
    </row>
    <row r="140" spans="2:111" ht="15" x14ac:dyDescent="0.25">
      <c r="B140" s="1">
        <v>7.9</v>
      </c>
      <c r="C140" s="1">
        <v>3.8</v>
      </c>
      <c r="D140" s="1">
        <v>6.4</v>
      </c>
      <c r="E140" s="1">
        <v>2</v>
      </c>
      <c r="F140" s="1" t="s">
        <v>7</v>
      </c>
      <c r="I140" s="2">
        <f>(B140-B$5)/(B$4-B$5)</f>
        <v>1</v>
      </c>
      <c r="J140" s="2">
        <f>(C140-C$5)/(C$4-C$5)</f>
        <v>0.74999999999999978</v>
      </c>
      <c r="K140" s="2">
        <f>(D140-D$5)/(D$4-D$5)</f>
        <v>0.9152542372881356</v>
      </c>
      <c r="L140" s="2">
        <f>(E140-E$5)/(E$4-E$5)</f>
        <v>0.79166666666666663</v>
      </c>
      <c r="M140" s="3">
        <f>IF($F140=M$8,1,0)</f>
        <v>0</v>
      </c>
      <c r="N140" s="3">
        <f>IF($F140=N$8,1,0)</f>
        <v>0</v>
      </c>
      <c r="O140" s="3">
        <f>IF($F140=O$8,1,0)</f>
        <v>1</v>
      </c>
      <c r="CD140" s="2">
        <f ca="1">CD$2*$I140+CD$3*$J140+CD$4*$K140+CD$5*$L140+CD$6</f>
        <v>0.30501307579111225</v>
      </c>
      <c r="CE140" s="2">
        <f ca="1">CE$2*$I140+CE$3*$J140+CE$4*$K140+CE$5*$L140+CE$6</f>
        <v>-1.4502982255865715E-2</v>
      </c>
      <c r="CF140" s="2">
        <f ca="1">CF$2*$I140+CF$3*$J140+CF$4*$K140+CF$5*$L140+CF$6</f>
        <v>1.199933523181266</v>
      </c>
      <c r="CG140" s="2">
        <f t="shared" ca="1" si="20"/>
        <v>1.356642742067357</v>
      </c>
      <c r="CH140" s="2">
        <f t="shared" ca="1" si="17"/>
        <v>0.98560167941160981</v>
      </c>
      <c r="CI140" s="2">
        <f t="shared" ca="1" si="18"/>
        <v>3.3198962192616128</v>
      </c>
      <c r="CJ140" s="2">
        <f t="shared" ca="1" si="21"/>
        <v>5.6621406407405797</v>
      </c>
      <c r="CK140" s="2">
        <f ca="1">CG140/'1'!$H140</f>
        <v>0.28958937627623499</v>
      </c>
      <c r="CL140" s="2">
        <f t="shared" ca="1" si="22"/>
        <v>0.17406873865335462</v>
      </c>
      <c r="CM140" s="2">
        <f t="shared" ca="1" si="23"/>
        <v>0.5863323484715468</v>
      </c>
      <c r="CN140" s="2">
        <f ca="1">-$M140*LOG(CK140)</f>
        <v>0</v>
      </c>
      <c r="CO140" s="2">
        <f ca="1">-$N140*LOG(CL140)</f>
        <v>0</v>
      </c>
      <c r="CP140" s="2">
        <f ca="1">-$O140*LOG(CM140)</f>
        <v>0.2318561447455415</v>
      </c>
      <c r="CQ140" s="2">
        <f t="shared" ca="1" si="19"/>
        <v>0.2318561447455415</v>
      </c>
      <c r="CR140" s="2"/>
      <c r="CS140" s="2">
        <f ca="1">(CK140-'2'!Z140)*'2'!V140</f>
        <v>-4.860439673010925E-3</v>
      </c>
      <c r="CT140" s="2">
        <f>('1'!$I140-$M140)*'2'!W140</f>
        <v>2.7777777777777766E-2</v>
      </c>
      <c r="CU140" s="2">
        <f>('1'!$I140-$M140)*'2'!X140</f>
        <v>3.3898305084745756E-2</v>
      </c>
      <c r="CV140" s="2">
        <f>('1'!$I140-$M140)*'2'!Y140</f>
        <v>2.9320987654320979E-2</v>
      </c>
      <c r="CW140" s="2">
        <f>('1'!$I140-$M140)</f>
        <v>0.33333333333333331</v>
      </c>
      <c r="CX140" s="2">
        <f>('1'!$J140-$N140)*'2'!V140</f>
        <v>3.7037037037037035E-2</v>
      </c>
      <c r="CY140" s="2">
        <f>('1'!$J140-$N140)*'2'!W140</f>
        <v>2.7777777777777766E-2</v>
      </c>
      <c r="CZ140" s="2">
        <f>('1'!$J140-$N140)*'2'!X140</f>
        <v>3.3898305084745756E-2</v>
      </c>
      <c r="DA140" s="2">
        <f>('1'!$J140-$N140)*'2'!Y140</f>
        <v>2.9320987654320979E-2</v>
      </c>
      <c r="DB140" s="2">
        <f>('1'!$J140-$N140)</f>
        <v>0.33333333333333331</v>
      </c>
      <c r="DC140" s="2">
        <f>('1'!$K140-$O140)*'2'!V140</f>
        <v>-7.4074074074074084E-2</v>
      </c>
      <c r="DD140" s="2">
        <f>('1'!$K140-$O140)*'2'!W140</f>
        <v>-5.5555555555555539E-2</v>
      </c>
      <c r="DE140" s="2">
        <f>('1'!$K140-$O140)*'2'!X140</f>
        <v>-6.7796610169491525E-2</v>
      </c>
      <c r="DF140" s="2">
        <f>('1'!$K140-$O140)*'2'!Y140</f>
        <v>-5.8641975308641965E-2</v>
      </c>
      <c r="DG140" s="2">
        <f>('1'!$K140-$O140)</f>
        <v>-0.66666666666666674</v>
      </c>
    </row>
    <row r="141" spans="2:111" ht="15" x14ac:dyDescent="0.25">
      <c r="B141" s="1">
        <v>6.4</v>
      </c>
      <c r="C141" s="1">
        <v>2.8</v>
      </c>
      <c r="D141" s="1">
        <v>5.6</v>
      </c>
      <c r="E141" s="1">
        <v>2.2000000000000002</v>
      </c>
      <c r="F141" s="1" t="s">
        <v>7</v>
      </c>
      <c r="I141" s="2">
        <f>(B141-B$5)/(B$4-B$5)</f>
        <v>0.58333333333333337</v>
      </c>
      <c r="J141" s="2">
        <f>(C141-C$5)/(C$4-C$5)</f>
        <v>0.3333333333333332</v>
      </c>
      <c r="K141" s="2">
        <f>(D141-D$5)/(D$4-D$5)</f>
        <v>0.77966101694915246</v>
      </c>
      <c r="L141" s="2">
        <f>(E141-E$5)/(E$4-E$5)</f>
        <v>0.87500000000000011</v>
      </c>
      <c r="M141" s="3">
        <f>IF($F141=M$8,1,0)</f>
        <v>0</v>
      </c>
      <c r="N141" s="3">
        <f>IF($F141=N$8,1,0)</f>
        <v>0</v>
      </c>
      <c r="O141" s="3">
        <f>IF($F141=O$8,1,0)</f>
        <v>1</v>
      </c>
      <c r="CD141" s="2">
        <f ca="1">CD$2*$I141+CD$3*$J141+CD$4*$K141+CD$5*$L141+CD$6</f>
        <v>0.14334490737587713</v>
      </c>
      <c r="CE141" s="2">
        <f ca="1">CE$2*$I141+CE$3*$J141+CE$4*$K141+CE$5*$L141+CE$6</f>
        <v>3.1429068380172412E-2</v>
      </c>
      <c r="CF141" s="2">
        <f ca="1">CF$2*$I141+CF$3*$J141+CF$4*$K141+CF$5*$L141+CF$6</f>
        <v>0.99645233267810696</v>
      </c>
      <c r="CG141" s="2">
        <f t="shared" ca="1" si="20"/>
        <v>1.1541278002167465</v>
      </c>
      <c r="CH141" s="2">
        <f t="shared" ca="1" si="17"/>
        <v>1.0319281766625008</v>
      </c>
      <c r="CI141" s="2">
        <f t="shared" ca="1" si="18"/>
        <v>2.7086553547042271</v>
      </c>
      <c r="CJ141" s="2">
        <f t="shared" ca="1" si="21"/>
        <v>4.8947113315834745</v>
      </c>
      <c r="CK141" s="2">
        <f ca="1">CG141/'1'!$H141</f>
        <v>0.26917322442703062</v>
      </c>
      <c r="CL141" s="2">
        <f t="shared" ca="1" si="22"/>
        <v>0.21082513487647586</v>
      </c>
      <c r="CM141" s="2">
        <f t="shared" ca="1" si="23"/>
        <v>0.55338408564084973</v>
      </c>
      <c r="CN141" s="2">
        <f ca="1">-$M141*LOG(CK141)</f>
        <v>0</v>
      </c>
      <c r="CO141" s="2">
        <f ca="1">-$N141*LOG(CL141)</f>
        <v>0</v>
      </c>
      <c r="CP141" s="2">
        <f ca="1">-$O141*LOG(CM141)</f>
        <v>0.25697333456576188</v>
      </c>
      <c r="CQ141" s="2">
        <f t="shared" ca="1" si="19"/>
        <v>0.25697333456576188</v>
      </c>
      <c r="CR141" s="2"/>
      <c r="CS141" s="2">
        <f ca="1">(CK141-'2'!Z141)*'2'!V141</f>
        <v>-4.1585255772603651E-3</v>
      </c>
      <c r="CT141" s="2">
        <f>('1'!$I141-$M141)*'2'!W141</f>
        <v>1.2345679012345677E-2</v>
      </c>
      <c r="CU141" s="2">
        <f>('1'!$I141-$M141)*'2'!X141</f>
        <v>2.8876333961079727E-2</v>
      </c>
      <c r="CV141" s="2">
        <f>('1'!$I141-$M141)*'2'!Y141</f>
        <v>3.2407407407407419E-2</v>
      </c>
      <c r="CW141" s="2">
        <f>('1'!$I141-$M141)</f>
        <v>0.33333333333333337</v>
      </c>
      <c r="CX141" s="2">
        <f>('1'!$J141-$N141)*'2'!V141</f>
        <v>2.1604938271604947E-2</v>
      </c>
      <c r="CY141" s="2">
        <f>('1'!$J141-$N141)*'2'!W141</f>
        <v>1.2345679012345677E-2</v>
      </c>
      <c r="CZ141" s="2">
        <f>('1'!$J141-$N141)*'2'!X141</f>
        <v>2.8876333961079727E-2</v>
      </c>
      <c r="DA141" s="2">
        <f>('1'!$J141-$N141)*'2'!Y141</f>
        <v>3.2407407407407419E-2</v>
      </c>
      <c r="DB141" s="2">
        <f>('1'!$J141-$N141)</f>
        <v>0.33333333333333337</v>
      </c>
      <c r="DC141" s="2">
        <f>('1'!$K141-$O141)*'2'!V141</f>
        <v>-4.3209876543209888E-2</v>
      </c>
      <c r="DD141" s="2">
        <f>('1'!$K141-$O141)*'2'!W141</f>
        <v>-2.469135802469135E-2</v>
      </c>
      <c r="DE141" s="2">
        <f>('1'!$K141-$O141)*'2'!X141</f>
        <v>-5.7752667922159447E-2</v>
      </c>
      <c r="DF141" s="2">
        <f>('1'!$K141-$O141)*'2'!Y141</f>
        <v>-6.4814814814814825E-2</v>
      </c>
      <c r="DG141" s="2">
        <f>('1'!$K141-$O141)</f>
        <v>-0.66666666666666663</v>
      </c>
    </row>
    <row r="142" spans="2:111" ht="15" x14ac:dyDescent="0.25">
      <c r="B142" s="1">
        <v>6.3</v>
      </c>
      <c r="C142" s="1">
        <v>2.8</v>
      </c>
      <c r="D142" s="1">
        <v>5.0999999999999996</v>
      </c>
      <c r="E142" s="1">
        <v>1.5</v>
      </c>
      <c r="F142" s="1" t="s">
        <v>7</v>
      </c>
      <c r="I142" s="2">
        <f>(B142-B$5)/(B$4-B$5)</f>
        <v>0.55555555555555547</v>
      </c>
      <c r="J142" s="2">
        <f>(C142-C$5)/(C$4-C$5)</f>
        <v>0.3333333333333332</v>
      </c>
      <c r="K142" s="2">
        <f>(D142-D$5)/(D$4-D$5)</f>
        <v>0.69491525423728806</v>
      </c>
      <c r="L142" s="2">
        <f>(E142-E$5)/(E$4-E$5)</f>
        <v>0.58333333333333337</v>
      </c>
      <c r="M142" s="3">
        <f>IF($F142=M$8,1,0)</f>
        <v>0</v>
      </c>
      <c r="N142" s="3">
        <f>IF($F142=N$8,1,0)</f>
        <v>0</v>
      </c>
      <c r="O142" s="3">
        <f>IF($F142=O$8,1,0)</f>
        <v>1</v>
      </c>
      <c r="CD142" s="2">
        <f ca="1">CD$2*$I142+CD$3*$J142+CD$4*$K142+CD$5*$L142+CD$6</f>
        <v>0.16851663576202885</v>
      </c>
      <c r="CE142" s="2">
        <f ca="1">CE$2*$I142+CE$3*$J142+CE$4*$K142+CE$5*$L142+CE$6</f>
        <v>4.1374447780724181E-2</v>
      </c>
      <c r="CF142" s="2">
        <f ca="1">CF$2*$I142+CF$3*$J142+CF$4*$K142+CF$5*$L142+CF$6</f>
        <v>0.83331637148828208</v>
      </c>
      <c r="CG142" s="2">
        <f t="shared" ca="1" si="20"/>
        <v>1.1835479159025657</v>
      </c>
      <c r="CH142" s="2">
        <f t="shared" ca="1" si="17"/>
        <v>1.0422422978029973</v>
      </c>
      <c r="CI142" s="2">
        <f t="shared" ca="1" si="18"/>
        <v>2.3009368624272954</v>
      </c>
      <c r="CJ142" s="2">
        <f t="shared" ca="1" si="21"/>
        <v>4.5267270761328584</v>
      </c>
      <c r="CK142" s="2">
        <f ca="1">CG142/'1'!$H142</f>
        <v>0.28742037875772808</v>
      </c>
      <c r="CL142" s="2">
        <f t="shared" ca="1" si="22"/>
        <v>0.23024191215286946</v>
      </c>
      <c r="CM142" s="2">
        <f t="shared" ca="1" si="23"/>
        <v>0.50830032907417178</v>
      </c>
      <c r="CN142" s="2">
        <f ca="1">-$M142*LOG(CK142)</f>
        <v>0</v>
      </c>
      <c r="CO142" s="2">
        <f ca="1">-$N142*LOG(CL142)</f>
        <v>0</v>
      </c>
      <c r="CP142" s="2">
        <f ca="1">-$O142*LOG(CM142)</f>
        <v>0.29387960913449751</v>
      </c>
      <c r="CQ142" s="2">
        <f t="shared" ca="1" si="19"/>
        <v>0.29387960913449751</v>
      </c>
      <c r="CR142" s="2"/>
      <c r="CS142" s="2">
        <f ca="1">(CK142-'2'!Z142)*'2'!V142</f>
        <v>-2.8341329984941494E-3</v>
      </c>
      <c r="CT142" s="2">
        <f>('1'!$I142-$M142)*'2'!W142</f>
        <v>1.2345679012345673E-2</v>
      </c>
      <c r="CU142" s="2">
        <f>('1'!$I142-$M142)*'2'!X142</f>
        <v>2.5737602008788444E-2</v>
      </c>
      <c r="CV142" s="2">
        <f>('1'!$I142-$M142)*'2'!Y142</f>
        <v>2.1604938271604937E-2</v>
      </c>
      <c r="CW142" s="2">
        <f>('1'!$I142-$M142)</f>
        <v>0.33333333333333331</v>
      </c>
      <c r="CX142" s="2">
        <f>('1'!$J142-$N142)*'2'!V142</f>
        <v>2.0576131687242791E-2</v>
      </c>
      <c r="CY142" s="2">
        <f>('1'!$J142-$N142)*'2'!W142</f>
        <v>1.2345679012345673E-2</v>
      </c>
      <c r="CZ142" s="2">
        <f>('1'!$J142-$N142)*'2'!X142</f>
        <v>2.5737602008788444E-2</v>
      </c>
      <c r="DA142" s="2">
        <f>('1'!$J142-$N142)*'2'!Y142</f>
        <v>2.1604938271604937E-2</v>
      </c>
      <c r="DB142" s="2">
        <f>('1'!$J142-$N142)</f>
        <v>0.33333333333333331</v>
      </c>
      <c r="DC142" s="2">
        <f>('1'!$K142-$O142)*'2'!V142</f>
        <v>-4.115226337448559E-2</v>
      </c>
      <c r="DD142" s="2">
        <f>('1'!$K142-$O142)*'2'!W142</f>
        <v>-2.469135802469135E-2</v>
      </c>
      <c r="DE142" s="2">
        <f>('1'!$K142-$O142)*'2'!X142</f>
        <v>-5.1475204017576895E-2</v>
      </c>
      <c r="DF142" s="2">
        <f>('1'!$K142-$O142)*'2'!Y142</f>
        <v>-4.3209876543209881E-2</v>
      </c>
      <c r="DG142" s="2">
        <f>('1'!$K142-$O142)</f>
        <v>-0.66666666666666674</v>
      </c>
    </row>
    <row r="143" spans="2:111" ht="15" x14ac:dyDescent="0.25">
      <c r="B143" s="1">
        <v>6.1</v>
      </c>
      <c r="C143" s="1">
        <v>2.6</v>
      </c>
      <c r="D143" s="1">
        <v>5.6</v>
      </c>
      <c r="E143" s="1">
        <v>1.4</v>
      </c>
      <c r="F143" s="1" t="s">
        <v>7</v>
      </c>
      <c r="I143" s="2">
        <f>(B143-B$5)/(B$4-B$5)</f>
        <v>0.49999999999999989</v>
      </c>
      <c r="J143" s="2">
        <f>(C143-C$5)/(C$4-C$5)</f>
        <v>0.25</v>
      </c>
      <c r="K143" s="2">
        <f>(D143-D$5)/(D$4-D$5)</f>
        <v>0.77966101694915246</v>
      </c>
      <c r="L143" s="2">
        <f>(E143-E$5)/(E$4-E$5)</f>
        <v>0.54166666666666663</v>
      </c>
      <c r="M143" s="3">
        <f>IF($F143=M$8,1,0)</f>
        <v>0</v>
      </c>
      <c r="N143" s="3">
        <f>IF($F143=N$8,1,0)</f>
        <v>0</v>
      </c>
      <c r="O143" s="3">
        <f>IF($F143=O$8,1,0)</f>
        <v>1</v>
      </c>
      <c r="CD143" s="2">
        <f ca="1">CD$2*$I143+CD$3*$J143+CD$4*$K143+CD$5*$L143+CD$6</f>
        <v>0.13714861509941273</v>
      </c>
      <c r="CE143" s="2">
        <f ca="1">CE$2*$I143+CE$3*$J143+CE$4*$K143+CE$5*$L143+CE$6</f>
        <v>5.3257045621500104E-2</v>
      </c>
      <c r="CF143" s="2">
        <f ca="1">CF$2*$I143+CF$3*$J143+CF$4*$K143+CF$5*$L143+CF$6</f>
        <v>0.82125636200338659</v>
      </c>
      <c r="CG143" s="2">
        <f t="shared" ca="1" si="20"/>
        <v>1.1469985971650072</v>
      </c>
      <c r="CH143" s="2">
        <f t="shared" ca="1" si="17"/>
        <v>1.0547007164801745</v>
      </c>
      <c r="CI143" s="2">
        <f t="shared" ca="1" si="18"/>
        <v>2.2733541999377573</v>
      </c>
      <c r="CJ143" s="2">
        <f t="shared" ca="1" si="21"/>
        <v>4.4750535135829388</v>
      </c>
      <c r="CK143" s="2">
        <f ca="1">CG143/'1'!$H143</f>
        <v>0.28122606201249334</v>
      </c>
      <c r="CL143" s="2">
        <f t="shared" ca="1" si="22"/>
        <v>0.2356844925493933</v>
      </c>
      <c r="CM143" s="2">
        <f t="shared" ca="1" si="23"/>
        <v>0.50800603680772582</v>
      </c>
      <c r="CN143" s="2">
        <f ca="1">-$M143*LOG(CK143)</f>
        <v>0</v>
      </c>
      <c r="CO143" s="2">
        <f ca="1">-$N143*LOG(CL143)</f>
        <v>0</v>
      </c>
      <c r="CP143" s="2">
        <f ca="1">-$O143*LOG(CM143)</f>
        <v>0.29413112681705322</v>
      </c>
      <c r="CQ143" s="2">
        <f t="shared" ca="1" si="19"/>
        <v>0.29413112681705322</v>
      </c>
      <c r="CR143" s="2"/>
      <c r="CS143" s="2">
        <f ca="1">(CK143-'2'!Z143)*'2'!V143</f>
        <v>-2.8948484067133351E-3</v>
      </c>
      <c r="CT143" s="2">
        <f>('1'!$I143-$M143)*'2'!W143</f>
        <v>9.2592592592592622E-3</v>
      </c>
      <c r="CU143" s="2">
        <f>('1'!$I143-$M143)*'2'!X143</f>
        <v>2.8876333961079727E-2</v>
      </c>
      <c r="CV143" s="2">
        <f>('1'!$I143-$M143)*'2'!Y143</f>
        <v>2.0061728395061731E-2</v>
      </c>
      <c r="CW143" s="2">
        <f>('1'!$I143-$M143)</f>
        <v>0.33333333333333337</v>
      </c>
      <c r="CX143" s="2">
        <f>('1'!$J143-$N143)*'2'!V143</f>
        <v>1.8518518518518521E-2</v>
      </c>
      <c r="CY143" s="2">
        <f>('1'!$J143-$N143)*'2'!W143</f>
        <v>9.2592592592592622E-3</v>
      </c>
      <c r="CZ143" s="2">
        <f>('1'!$J143-$N143)*'2'!X143</f>
        <v>2.8876333961079727E-2</v>
      </c>
      <c r="DA143" s="2">
        <f>('1'!$J143-$N143)*'2'!Y143</f>
        <v>2.0061728395061731E-2</v>
      </c>
      <c r="DB143" s="2">
        <f>('1'!$J143-$N143)</f>
        <v>0.33333333333333337</v>
      </c>
      <c r="DC143" s="2">
        <f>('1'!$K143-$O143)*'2'!V143</f>
        <v>-3.7037037037037035E-2</v>
      </c>
      <c r="DD143" s="2">
        <f>('1'!$K143-$O143)*'2'!W143</f>
        <v>-1.8518518518518521E-2</v>
      </c>
      <c r="DE143" s="2">
        <f>('1'!$K143-$O143)*'2'!X143</f>
        <v>-5.7752667922159447E-2</v>
      </c>
      <c r="DF143" s="2">
        <f>('1'!$K143-$O143)*'2'!Y143</f>
        <v>-4.0123456790123455E-2</v>
      </c>
      <c r="DG143" s="2">
        <f>('1'!$K143-$O143)</f>
        <v>-0.66666666666666663</v>
      </c>
    </row>
    <row r="144" spans="2:111" ht="15" x14ac:dyDescent="0.25">
      <c r="B144" s="1">
        <v>7.7</v>
      </c>
      <c r="C144" s="1">
        <v>3</v>
      </c>
      <c r="D144" s="1">
        <v>6.1</v>
      </c>
      <c r="E144" s="1">
        <v>2.2999999999999998</v>
      </c>
      <c r="F144" s="1" t="s">
        <v>7</v>
      </c>
      <c r="I144" s="2">
        <f>(B144-B$5)/(B$4-B$5)</f>
        <v>0.94444444444444442</v>
      </c>
      <c r="J144" s="2">
        <f>(C144-C$5)/(C$4-C$5)</f>
        <v>0.41666666666666663</v>
      </c>
      <c r="K144" s="2">
        <f>(D144-D$5)/(D$4-D$5)</f>
        <v>0.86440677966101687</v>
      </c>
      <c r="L144" s="2">
        <f>(E144-E$5)/(E$4-E$5)</f>
        <v>0.91666666666666663</v>
      </c>
      <c r="M144" s="3">
        <f>IF($F144=M$8,1,0)</f>
        <v>0</v>
      </c>
      <c r="N144" s="3">
        <f>IF($F144=N$8,1,0)</f>
        <v>0</v>
      </c>
      <c r="O144" s="3">
        <f>IF($F144=O$8,1,0)</f>
        <v>1</v>
      </c>
      <c r="CD144" s="2">
        <f ca="1">CD$2*$I144+CD$3*$J144+CD$4*$K144+CD$5*$L144+CD$6</f>
        <v>0.20506466618726629</v>
      </c>
      <c r="CE144" s="2">
        <f ca="1">CE$2*$I144+CE$3*$J144+CE$4*$K144+CE$5*$L144+CE$6</f>
        <v>1.1371797274098192E-2</v>
      </c>
      <c r="CF144" s="2">
        <f ca="1">CF$2*$I144+CF$3*$J144+CF$4*$K144+CF$5*$L144+CF$6</f>
        <v>1.1710658412153419</v>
      </c>
      <c r="CG144" s="2">
        <f t="shared" ca="1" si="20"/>
        <v>1.2276044468955385</v>
      </c>
      <c r="CH144" s="2">
        <f t="shared" ca="1" si="17"/>
        <v>1.0114367019550197</v>
      </c>
      <c r="CI144" s="2">
        <f t="shared" ca="1" si="18"/>
        <v>3.2254286018485558</v>
      </c>
      <c r="CJ144" s="2">
        <f t="shared" ca="1" si="21"/>
        <v>5.4644697506991138</v>
      </c>
      <c r="CK144" s="2">
        <f ca="1">CG144/'1'!$H144</f>
        <v>0.27042348704154623</v>
      </c>
      <c r="CL144" s="2">
        <f t="shared" ca="1" si="22"/>
        <v>0.18509329323775989</v>
      </c>
      <c r="CM144" s="2">
        <f t="shared" ca="1" si="23"/>
        <v>0.59025463567364445</v>
      </c>
      <c r="CN144" s="2">
        <f ca="1">-$M144*LOG(CK144)</f>
        <v>0</v>
      </c>
      <c r="CO144" s="2">
        <f ca="1">-$N144*LOG(CL144)</f>
        <v>0</v>
      </c>
      <c r="CP144" s="2">
        <f ca="1">-$O144*LOG(CM144)</f>
        <v>0.22896059342402919</v>
      </c>
      <c r="CQ144" s="2">
        <f t="shared" ca="1" si="19"/>
        <v>0.22896059342402919</v>
      </c>
      <c r="CR144" s="2"/>
      <c r="CS144" s="2">
        <f ca="1">(CK144-'2'!Z144)*'2'!V144</f>
        <v>-6.6016505367924791E-3</v>
      </c>
      <c r="CT144" s="2">
        <f>('1'!$I144-$M144)*'2'!W144</f>
        <v>1.5432098765432101E-2</v>
      </c>
      <c r="CU144" s="2">
        <f>('1'!$I144-$M144)*'2'!X144</f>
        <v>3.2015065913371006E-2</v>
      </c>
      <c r="CV144" s="2">
        <f>('1'!$I144-$M144)*'2'!Y144</f>
        <v>3.3950617283950629E-2</v>
      </c>
      <c r="CW144" s="2">
        <f>('1'!$I144-$M144)</f>
        <v>0.33333333333333337</v>
      </c>
      <c r="CX144" s="2">
        <f>('1'!$J144-$N144)*'2'!V144</f>
        <v>3.4979423868312771E-2</v>
      </c>
      <c r="CY144" s="2">
        <f>('1'!$J144-$N144)*'2'!W144</f>
        <v>1.5432098765432101E-2</v>
      </c>
      <c r="CZ144" s="2">
        <f>('1'!$J144-$N144)*'2'!X144</f>
        <v>3.2015065913371006E-2</v>
      </c>
      <c r="DA144" s="2">
        <f>('1'!$J144-$N144)*'2'!Y144</f>
        <v>3.3950617283950629E-2</v>
      </c>
      <c r="DB144" s="2">
        <f>('1'!$J144-$N144)</f>
        <v>0.33333333333333337</v>
      </c>
      <c r="DC144" s="2">
        <f>('1'!$K144-$O144)*'2'!V144</f>
        <v>-6.9958847736625529E-2</v>
      </c>
      <c r="DD144" s="2">
        <f>('1'!$K144-$O144)*'2'!W144</f>
        <v>-3.0864197530864199E-2</v>
      </c>
      <c r="DE144" s="2">
        <f>('1'!$K144-$O144)*'2'!X144</f>
        <v>-6.4030131826741998E-2</v>
      </c>
      <c r="DF144" s="2">
        <f>('1'!$K144-$O144)*'2'!Y144</f>
        <v>-6.7901234567901245E-2</v>
      </c>
      <c r="DG144" s="2">
        <f>('1'!$K144-$O144)</f>
        <v>-0.66666666666666663</v>
      </c>
    </row>
    <row r="145" spans="2:111" ht="15" x14ac:dyDescent="0.25">
      <c r="B145" s="1">
        <v>6.3</v>
      </c>
      <c r="C145" s="1">
        <v>3.4</v>
      </c>
      <c r="D145" s="1">
        <v>5.6</v>
      </c>
      <c r="E145" s="1">
        <v>2.4</v>
      </c>
      <c r="F145" s="1" t="s">
        <v>7</v>
      </c>
      <c r="I145" s="2">
        <f>(B145-B$5)/(B$4-B$5)</f>
        <v>0.55555555555555547</v>
      </c>
      <c r="J145" s="2">
        <f>(C145-C$5)/(C$4-C$5)</f>
        <v>0.58333333333333326</v>
      </c>
      <c r="K145" s="2">
        <f>(D145-D$5)/(D$4-D$5)</f>
        <v>0.77966101694915246</v>
      </c>
      <c r="L145" s="2">
        <f>(E145-E$5)/(E$4-E$5)</f>
        <v>0.95833333333333326</v>
      </c>
      <c r="M145" s="3">
        <f>IF($F145=M$8,1,0)</f>
        <v>0</v>
      </c>
      <c r="N145" s="3">
        <f>IF($F145=N$8,1,0)</f>
        <v>0</v>
      </c>
      <c r="O145" s="3">
        <f>IF($F145=O$8,1,0)</f>
        <v>1</v>
      </c>
      <c r="CD145" s="2">
        <f ca="1">CD$2*$I145+CD$3*$J145+CD$4*$K145+CD$5*$L145+CD$6</f>
        <v>0.19724025837040338</v>
      </c>
      <c r="CE145" s="2">
        <f ca="1">CE$2*$I145+CE$3*$J145+CE$4*$K145+CE$5*$L145+CE$6</f>
        <v>7.689267359487939E-3</v>
      </c>
      <c r="CF145" s="2">
        <f ca="1">CF$2*$I145+CF$3*$J145+CF$4*$K145+CF$5*$L145+CF$6</f>
        <v>1.0547753541343128</v>
      </c>
      <c r="CG145" s="2">
        <f t="shared" ca="1" si="20"/>
        <v>1.2180366490540917</v>
      </c>
      <c r="CH145" s="2">
        <f t="shared" ca="1" si="17"/>
        <v>1.0077189056927387</v>
      </c>
      <c r="CI145" s="2">
        <f t="shared" ca="1" si="18"/>
        <v>2.8713300490194511</v>
      </c>
      <c r="CJ145" s="2">
        <f t="shared" ca="1" si="21"/>
        <v>5.0970856037662813</v>
      </c>
      <c r="CK145" s="2">
        <f ca="1">CG145/'1'!$H145</f>
        <v>0.27552956168192561</v>
      </c>
      <c r="CL145" s="2">
        <f t="shared" ca="1" si="22"/>
        <v>0.19770492081752097</v>
      </c>
      <c r="CM145" s="2">
        <f t="shared" ca="1" si="23"/>
        <v>0.56332780577548081</v>
      </c>
      <c r="CN145" s="2">
        <f ca="1">-$M145*LOG(CK145)</f>
        <v>0</v>
      </c>
      <c r="CO145" s="2">
        <f ca="1">-$N145*LOG(CL145)</f>
        <v>0</v>
      </c>
      <c r="CP145" s="2">
        <f ca="1">-$O145*LOG(CM145)</f>
        <v>0.24923881152548841</v>
      </c>
      <c r="CQ145" s="2">
        <f t="shared" ca="1" si="19"/>
        <v>0.24923881152548841</v>
      </c>
      <c r="CR145" s="2"/>
      <c r="CS145" s="2">
        <f ca="1">(CK145-'2'!Z145)*'2'!V145</f>
        <v>-3.5681340525560352E-3</v>
      </c>
      <c r="CT145" s="2">
        <f>('1'!$I145-$M145)*'2'!W145</f>
        <v>2.1604938271604944E-2</v>
      </c>
      <c r="CU145" s="2">
        <f>('1'!$I145-$M145)*'2'!X145</f>
        <v>2.8876333961079727E-2</v>
      </c>
      <c r="CV145" s="2">
        <f>('1'!$I145-$M145)*'2'!Y145</f>
        <v>3.5493827160493839E-2</v>
      </c>
      <c r="CW145" s="2">
        <f>('1'!$I145-$M145)</f>
        <v>0.33333333333333337</v>
      </c>
      <c r="CX145" s="2">
        <f>('1'!$J145-$N145)*'2'!V145</f>
        <v>2.0576131687242802E-2</v>
      </c>
      <c r="CY145" s="2">
        <f>('1'!$J145-$N145)*'2'!W145</f>
        <v>2.1604938271604944E-2</v>
      </c>
      <c r="CZ145" s="2">
        <f>('1'!$J145-$N145)*'2'!X145</f>
        <v>2.8876333961079727E-2</v>
      </c>
      <c r="DA145" s="2">
        <f>('1'!$J145-$N145)*'2'!Y145</f>
        <v>3.5493827160493839E-2</v>
      </c>
      <c r="DB145" s="2">
        <f>('1'!$J145-$N145)</f>
        <v>0.33333333333333337</v>
      </c>
      <c r="DC145" s="2">
        <f>('1'!$K145-$O145)*'2'!V145</f>
        <v>-4.1152263374485597E-2</v>
      </c>
      <c r="DD145" s="2">
        <f>('1'!$K145-$O145)*'2'!W145</f>
        <v>-4.3209876543209881E-2</v>
      </c>
      <c r="DE145" s="2">
        <f>('1'!$K145-$O145)*'2'!X145</f>
        <v>-5.7752667922159447E-2</v>
      </c>
      <c r="DF145" s="2">
        <f>('1'!$K145-$O145)*'2'!Y145</f>
        <v>-7.0987654320987664E-2</v>
      </c>
      <c r="DG145" s="2">
        <f>('1'!$K145-$O145)</f>
        <v>-0.66666666666666663</v>
      </c>
    </row>
    <row r="146" spans="2:111" ht="15" x14ac:dyDescent="0.25">
      <c r="B146" s="1">
        <v>6.4</v>
      </c>
      <c r="C146" s="1">
        <v>3.1</v>
      </c>
      <c r="D146" s="1">
        <v>5.5</v>
      </c>
      <c r="E146" s="1">
        <v>1.8</v>
      </c>
      <c r="F146" s="1" t="s">
        <v>7</v>
      </c>
      <c r="I146" s="2">
        <f>(B146-B$5)/(B$4-B$5)</f>
        <v>0.58333333333333337</v>
      </c>
      <c r="J146" s="2">
        <f>(C146-C$5)/(C$4-C$5)</f>
        <v>0.45833333333333331</v>
      </c>
      <c r="K146" s="2">
        <f>(D146-D$5)/(D$4-D$5)</f>
        <v>0.76271186440677963</v>
      </c>
      <c r="L146" s="2">
        <f>(E146-E$5)/(E$4-E$5)</f>
        <v>0.70833333333333337</v>
      </c>
      <c r="M146" s="3">
        <f>IF($F146=M$8,1,0)</f>
        <v>0</v>
      </c>
      <c r="N146" s="3">
        <f>IF($F146=N$8,1,0)</f>
        <v>0</v>
      </c>
      <c r="O146" s="3">
        <f>IF($F146=O$8,1,0)</f>
        <v>1</v>
      </c>
      <c r="CD146" s="2">
        <f ca="1">CD$2*$I146+CD$3*$J146+CD$4*$K146+CD$5*$L146+CD$6</f>
        <v>0.18995905676065269</v>
      </c>
      <c r="CE146" s="2">
        <f ca="1">CE$2*$I146+CE$3*$J146+CE$4*$K146+CE$5*$L146+CE$6</f>
        <v>2.6121096266020216E-2</v>
      </c>
      <c r="CF146" s="2">
        <f ca="1">CF$2*$I146+CF$3*$J146+CF$4*$K146+CF$5*$L146+CF$6</f>
        <v>0.93684667044085002</v>
      </c>
      <c r="CG146" s="2">
        <f t="shared" ca="1" si="20"/>
        <v>1.2092000880750922</v>
      </c>
      <c r="CH146" s="2">
        <f t="shared" ca="1" si="17"/>
        <v>1.0264652420555584</v>
      </c>
      <c r="CI146" s="2">
        <f t="shared" ca="1" si="18"/>
        <v>2.5519216674558147</v>
      </c>
      <c r="CJ146" s="2">
        <f t="shared" ca="1" si="21"/>
        <v>4.787586997586466</v>
      </c>
      <c r="CK146" s="2">
        <f ca="1">CG146/'1'!$H146</f>
        <v>0.28367546634987084</v>
      </c>
      <c r="CL146" s="2">
        <f t="shared" ca="1" si="22"/>
        <v>0.21440137642888232</v>
      </c>
      <c r="CM146" s="2">
        <f t="shared" ca="1" si="23"/>
        <v>0.53302878229519335</v>
      </c>
      <c r="CN146" s="2">
        <f ca="1">-$M146*LOG(CK146)</f>
        <v>0</v>
      </c>
      <c r="CO146" s="2">
        <f ca="1">-$N146*LOG(CL146)</f>
        <v>0</v>
      </c>
      <c r="CP146" s="2">
        <f ca="1">-$O146*LOG(CM146)</f>
        <v>0.2732493394640696</v>
      </c>
      <c r="CQ146" s="2">
        <f t="shared" ca="1" si="19"/>
        <v>0.2732493394640696</v>
      </c>
      <c r="CR146" s="2"/>
      <c r="CS146" s="2">
        <f ca="1">(CK146-'2'!Z146)*'2'!V146</f>
        <v>-3.2185654526318266E-3</v>
      </c>
      <c r="CT146" s="2">
        <f>('1'!$I146-$M146)*'2'!W146</f>
        <v>1.6975308641975304E-2</v>
      </c>
      <c r="CU146" s="2">
        <f>('1'!$I146-$M146)*'2'!X146</f>
        <v>2.8248587570621465E-2</v>
      </c>
      <c r="CV146" s="2">
        <f>('1'!$I146-$M146)*'2'!Y146</f>
        <v>2.6234567901234563E-2</v>
      </c>
      <c r="CW146" s="2">
        <f>('1'!$I146-$M146)</f>
        <v>0.33333333333333331</v>
      </c>
      <c r="CX146" s="2">
        <f>('1'!$J146-$N146)*'2'!V146</f>
        <v>2.1604938271604937E-2</v>
      </c>
      <c r="CY146" s="2">
        <f>('1'!$J146-$N146)*'2'!W146</f>
        <v>1.6975308641975304E-2</v>
      </c>
      <c r="CZ146" s="2">
        <f>('1'!$J146-$N146)*'2'!X146</f>
        <v>2.8248587570621465E-2</v>
      </c>
      <c r="DA146" s="2">
        <f>('1'!$J146-$N146)*'2'!Y146</f>
        <v>2.6234567901234563E-2</v>
      </c>
      <c r="DB146" s="2">
        <f>('1'!$J146-$N146)</f>
        <v>0.33333333333333331</v>
      </c>
      <c r="DC146" s="2">
        <f>('1'!$K146-$O146)*'2'!V146</f>
        <v>-4.3209876543209881E-2</v>
      </c>
      <c r="DD146" s="2">
        <f>('1'!$K146-$O146)*'2'!W146</f>
        <v>-3.3950617283950615E-2</v>
      </c>
      <c r="DE146" s="2">
        <f>('1'!$K146-$O146)*'2'!X146</f>
        <v>-5.6497175141242945E-2</v>
      </c>
      <c r="DF146" s="2">
        <f>('1'!$K146-$O146)*'2'!Y146</f>
        <v>-5.2469135802469133E-2</v>
      </c>
      <c r="DG146" s="2">
        <f>('1'!$K146-$O146)</f>
        <v>-0.66666666666666674</v>
      </c>
    </row>
    <row r="147" spans="2:111" ht="15" x14ac:dyDescent="0.25">
      <c r="B147" s="1">
        <v>6</v>
      </c>
      <c r="C147" s="1">
        <v>3</v>
      </c>
      <c r="D147" s="1">
        <v>4.8</v>
      </c>
      <c r="E147" s="1">
        <v>1.8</v>
      </c>
      <c r="F147" s="1" t="s">
        <v>7</v>
      </c>
      <c r="I147" s="2">
        <f>(B147-B$5)/(B$4-B$5)</f>
        <v>0.47222222222222221</v>
      </c>
      <c r="J147" s="2">
        <f>(C147-C$5)/(C$4-C$5)</f>
        <v>0.41666666666666663</v>
      </c>
      <c r="K147" s="2">
        <f>(D147-D$5)/(D$4-D$5)</f>
        <v>0.64406779661016944</v>
      </c>
      <c r="L147" s="2">
        <f>(E147-E$5)/(E$4-E$5)</f>
        <v>0.70833333333333337</v>
      </c>
      <c r="M147" s="3">
        <f>IF($F147=M$8,1,0)</f>
        <v>0</v>
      </c>
      <c r="N147" s="3">
        <f>IF($F147=N$8,1,0)</f>
        <v>0</v>
      </c>
      <c r="O147" s="3">
        <f>IF($F147=O$8,1,0)</f>
        <v>1</v>
      </c>
      <c r="CD147" s="2">
        <f ca="1">CD$2*$I147+CD$3*$J147+CD$4*$K147+CD$5*$L147+CD$6</f>
        <v>0.17201226229982258</v>
      </c>
      <c r="CE147" s="2">
        <f ca="1">CE$2*$I147+CE$3*$J147+CE$4*$K147+CE$5*$L147+CE$6</f>
        <v>3.1899117543236127E-2</v>
      </c>
      <c r="CF147" s="2">
        <f ca="1">CF$2*$I147+CF$3*$J147+CF$4*$K147+CF$5*$L147+CF$6</f>
        <v>0.84983333457821797</v>
      </c>
      <c r="CG147" s="2">
        <f t="shared" ca="1" si="20"/>
        <v>1.1876923969648818</v>
      </c>
      <c r="CH147" s="2">
        <f t="shared" ca="1" si="17"/>
        <v>1.0324133476564596</v>
      </c>
      <c r="CI147" s="2">
        <f t="shared" ca="1" si="18"/>
        <v>2.3392569461893982</v>
      </c>
      <c r="CJ147" s="2">
        <f t="shared" ca="1" si="21"/>
        <v>4.5593626908107403</v>
      </c>
      <c r="CK147" s="2">
        <f ca="1">CG147/'1'!$H147</f>
        <v>0.2862960028866815</v>
      </c>
      <c r="CL147" s="2">
        <f t="shared" ca="1" si="22"/>
        <v>0.22643808305429572</v>
      </c>
      <c r="CM147" s="2">
        <f t="shared" ca="1" si="23"/>
        <v>0.51306665093875969</v>
      </c>
      <c r="CN147" s="2">
        <f ca="1">-$M147*LOG(CK147)</f>
        <v>0</v>
      </c>
      <c r="CO147" s="2">
        <f ca="1">-$N147*LOG(CL147)</f>
        <v>0</v>
      </c>
      <c r="CP147" s="2">
        <f ca="1">-$O147*LOG(CM147)</f>
        <v>0.28982621333909386</v>
      </c>
      <c r="CQ147" s="2">
        <f t="shared" ca="1" si="19"/>
        <v>0.28982621333909386</v>
      </c>
      <c r="CR147" s="2"/>
      <c r="CS147" s="2">
        <f ca="1">(CK147-'2'!Z147)*'2'!V147</f>
        <v>-2.4680080789909937E-3</v>
      </c>
      <c r="CT147" s="2">
        <f>('1'!$I147-$M147)*'2'!W147</f>
        <v>1.5432098765432101E-2</v>
      </c>
      <c r="CU147" s="2">
        <f>('1'!$I147-$M147)*'2'!X147</f>
        <v>2.3854362837413691E-2</v>
      </c>
      <c r="CV147" s="2">
        <f>('1'!$I147-$M147)*'2'!Y147</f>
        <v>2.623456790123458E-2</v>
      </c>
      <c r="CW147" s="2">
        <f>('1'!$I147-$M147)</f>
        <v>0.33333333333333337</v>
      </c>
      <c r="CX147" s="2">
        <f>('1'!$J147-$N147)*'2'!V147</f>
        <v>1.7489711934156386E-2</v>
      </c>
      <c r="CY147" s="2">
        <f>('1'!$J147-$N147)*'2'!W147</f>
        <v>1.5432098765432101E-2</v>
      </c>
      <c r="CZ147" s="2">
        <f>('1'!$J147-$N147)*'2'!X147</f>
        <v>2.3854362837413691E-2</v>
      </c>
      <c r="DA147" s="2">
        <f>('1'!$J147-$N147)*'2'!Y147</f>
        <v>2.623456790123458E-2</v>
      </c>
      <c r="DB147" s="2">
        <f>('1'!$J147-$N147)</f>
        <v>0.33333333333333337</v>
      </c>
      <c r="DC147" s="2">
        <f>('1'!$K147-$O147)*'2'!V147</f>
        <v>-3.4979423868312765E-2</v>
      </c>
      <c r="DD147" s="2">
        <f>('1'!$K147-$O147)*'2'!W147</f>
        <v>-3.0864197530864199E-2</v>
      </c>
      <c r="DE147" s="2">
        <f>('1'!$K147-$O147)*'2'!X147</f>
        <v>-4.7708725674827375E-2</v>
      </c>
      <c r="DF147" s="2">
        <f>('1'!$K147-$O147)*'2'!Y147</f>
        <v>-5.2469135802469154E-2</v>
      </c>
      <c r="DG147" s="2">
        <f>('1'!$K147-$O147)</f>
        <v>-0.66666666666666663</v>
      </c>
    </row>
    <row r="148" spans="2:111" ht="15" x14ac:dyDescent="0.25">
      <c r="B148" s="1">
        <v>6.9</v>
      </c>
      <c r="C148" s="1">
        <v>3.1</v>
      </c>
      <c r="D148" s="1">
        <v>5.4</v>
      </c>
      <c r="E148" s="1">
        <v>2.1</v>
      </c>
      <c r="F148" s="1" t="s">
        <v>7</v>
      </c>
      <c r="I148" s="2">
        <f>(B148-B$5)/(B$4-B$5)</f>
        <v>0.72222222222222221</v>
      </c>
      <c r="J148" s="2">
        <f>(C148-C$5)/(C$4-C$5)</f>
        <v>0.45833333333333331</v>
      </c>
      <c r="K148" s="2">
        <f>(D148-D$5)/(D$4-D$5)</f>
        <v>0.74576271186440679</v>
      </c>
      <c r="L148" s="2">
        <f>(E148-E$5)/(E$4-E$5)</f>
        <v>0.83333333333333337</v>
      </c>
      <c r="M148" s="3">
        <f>IF($F148=M$8,1,0)</f>
        <v>0</v>
      </c>
      <c r="N148" s="3">
        <f>IF($F148=N$8,1,0)</f>
        <v>0</v>
      </c>
      <c r="O148" s="3">
        <f>IF($F148=O$8,1,0)</f>
        <v>1</v>
      </c>
      <c r="CD148" s="2">
        <f ca="1">CD$2*$I148+CD$3*$J148+CD$4*$K148+CD$5*$L148+CD$6</f>
        <v>0.20005995281150085</v>
      </c>
      <c r="CE148" s="2">
        <f ca="1">CE$2*$I148+CE$3*$J148+CE$4*$K148+CE$5*$L148+CE$6</f>
        <v>1.6668669574148101E-2</v>
      </c>
      <c r="CF148" s="2">
        <f ca="1">CF$2*$I148+CF$3*$J148+CF$4*$K148+CF$5*$L148+CF$6</f>
        <v>1.0255058589650019</v>
      </c>
      <c r="CG148" s="2">
        <f t="shared" ca="1" si="20"/>
        <v>1.2214759868846083</v>
      </c>
      <c r="CH148" s="2">
        <f t="shared" ca="1" si="17"/>
        <v>1.0168083669573069</v>
      </c>
      <c r="CI148" s="2">
        <f t="shared" ca="1" si="18"/>
        <v>2.7885056944505484</v>
      </c>
      <c r="CJ148" s="2">
        <f t="shared" ca="1" si="21"/>
        <v>5.0267900482924635</v>
      </c>
      <c r="CK148" s="2">
        <f ca="1">CG148/'1'!$H148</f>
        <v>0.27956582733273511</v>
      </c>
      <c r="CL148" s="2">
        <f t="shared" ca="1" si="22"/>
        <v>0.2022778666283673</v>
      </c>
      <c r="CM148" s="2">
        <f t="shared" ca="1" si="23"/>
        <v>0.55472889610692377</v>
      </c>
      <c r="CN148" s="2">
        <f ca="1">-$M148*LOG(CK148)</f>
        <v>0</v>
      </c>
      <c r="CO148" s="2">
        <f ca="1">-$N148*LOG(CL148)</f>
        <v>0</v>
      </c>
      <c r="CP148" s="2">
        <f ca="1">-$O148*LOG(CM148)</f>
        <v>0.25591921091415709</v>
      </c>
      <c r="CQ148" s="2">
        <f t="shared" ca="1" si="19"/>
        <v>0.25591921091415709</v>
      </c>
      <c r="CR148" s="2"/>
      <c r="CS148" s="2">
        <f ca="1">(CK148-'2'!Z148)*'2'!V148</f>
        <v>-4.3146764074554166E-3</v>
      </c>
      <c r="CT148" s="2">
        <f>('1'!$I148-$M148)*'2'!W148</f>
        <v>1.6975308641975315E-2</v>
      </c>
      <c r="CU148" s="2">
        <f>('1'!$I148-$M148)*'2'!X148</f>
        <v>2.7620841180163225E-2</v>
      </c>
      <c r="CV148" s="2">
        <f>('1'!$I148-$M148)*'2'!Y148</f>
        <v>3.0864197530864213E-2</v>
      </c>
      <c r="CW148" s="2">
        <f>('1'!$I148-$M148)</f>
        <v>0.33333333333333337</v>
      </c>
      <c r="CX148" s="2">
        <f>('1'!$J148-$N148)*'2'!V148</f>
        <v>2.6748971193415644E-2</v>
      </c>
      <c r="CY148" s="2">
        <f>('1'!$J148-$N148)*'2'!W148</f>
        <v>1.6975308641975315E-2</v>
      </c>
      <c r="CZ148" s="2">
        <f>('1'!$J148-$N148)*'2'!X148</f>
        <v>2.7620841180163225E-2</v>
      </c>
      <c r="DA148" s="2">
        <f>('1'!$J148-$N148)*'2'!Y148</f>
        <v>3.0864197530864213E-2</v>
      </c>
      <c r="DB148" s="2">
        <f>('1'!$J148-$N148)</f>
        <v>0.33333333333333337</v>
      </c>
      <c r="DC148" s="2">
        <f>('1'!$K148-$O148)*'2'!V148</f>
        <v>-5.3497942386831282E-2</v>
      </c>
      <c r="DD148" s="2">
        <f>('1'!$K148-$O148)*'2'!W148</f>
        <v>-3.3950617283950622E-2</v>
      </c>
      <c r="DE148" s="2">
        <f>('1'!$K148-$O148)*'2'!X148</f>
        <v>-5.5241682360326436E-2</v>
      </c>
      <c r="DF148" s="2">
        <f>('1'!$K148-$O148)*'2'!Y148</f>
        <v>-6.1728395061728419E-2</v>
      </c>
      <c r="DG148" s="2">
        <f>('1'!$K148-$O148)</f>
        <v>-0.66666666666666663</v>
      </c>
    </row>
    <row r="149" spans="2:111" ht="15" x14ac:dyDescent="0.25">
      <c r="B149" s="1">
        <v>6.7</v>
      </c>
      <c r="C149" s="1">
        <v>3.1</v>
      </c>
      <c r="D149" s="1">
        <v>5.6</v>
      </c>
      <c r="E149" s="1">
        <v>2.4</v>
      </c>
      <c r="F149" s="1" t="s">
        <v>7</v>
      </c>
      <c r="I149" s="2">
        <f>(B149-B$5)/(B$4-B$5)</f>
        <v>0.66666666666666663</v>
      </c>
      <c r="J149" s="2">
        <f>(C149-C$5)/(C$4-C$5)</f>
        <v>0.45833333333333331</v>
      </c>
      <c r="K149" s="2">
        <f>(D149-D$5)/(D$4-D$5)</f>
        <v>0.77966101694915246</v>
      </c>
      <c r="L149" s="2">
        <f>(E149-E$5)/(E$4-E$5)</f>
        <v>0.95833333333333326</v>
      </c>
      <c r="M149" s="3">
        <f>IF($F149=M$8,1,0)</f>
        <v>0</v>
      </c>
      <c r="N149" s="3">
        <f>IF($F149=N$8,1,0)</f>
        <v>0</v>
      </c>
      <c r="O149" s="3">
        <f>IF($F149=O$8,1,0)</f>
        <v>1</v>
      </c>
      <c r="CD149" s="2">
        <f ca="1">CD$2*$I149+CD$3*$J149+CD$4*$K149+CD$5*$L149+CD$6</f>
        <v>0.18022986854809411</v>
      </c>
      <c r="CE149" s="2">
        <f ca="1">CE$2*$I149+CE$3*$J149+CE$4*$K149+CE$5*$L149+CE$6</f>
        <v>1.4718393166006594E-2</v>
      </c>
      <c r="CF149" s="2">
        <f ca="1">CF$2*$I149+CF$3*$J149+CF$4*$K149+CF$5*$L149+CF$6</f>
        <v>1.0733423324299127</v>
      </c>
      <c r="CG149" s="2">
        <f t="shared" ca="1" si="20"/>
        <v>1.1974925973714607</v>
      </c>
      <c r="CH149" s="2">
        <f t="shared" ca="1" si="17"/>
        <v>1.0148272420861248</v>
      </c>
      <c r="CI149" s="2">
        <f t="shared" ca="1" si="18"/>
        <v>2.9251399697061924</v>
      </c>
      <c r="CJ149" s="2">
        <f t="shared" ca="1" si="21"/>
        <v>5.1374598091637775</v>
      </c>
      <c r="CK149" s="2">
        <f ca="1">CG149/'1'!$H149</f>
        <v>0.27125882091653181</v>
      </c>
      <c r="CL149" s="2">
        <f t="shared" ca="1" si="22"/>
        <v>0.19753482845276174</v>
      </c>
      <c r="CM149" s="2">
        <f t="shared" ca="1" si="23"/>
        <v>0.5693747646431353</v>
      </c>
      <c r="CN149" s="2">
        <f ca="1">-$M149*LOG(CK149)</f>
        <v>0</v>
      </c>
      <c r="CO149" s="2">
        <f ca="1">-$N149*LOG(CL149)</f>
        <v>0</v>
      </c>
      <c r="CP149" s="2">
        <f ca="1">-$O149*LOG(CM149)</f>
        <v>0.2446017852029419</v>
      </c>
      <c r="CQ149" s="2">
        <f t="shared" ca="1" si="19"/>
        <v>0.2446017852029419</v>
      </c>
      <c r="CR149" s="2"/>
      <c r="CS149" s="2">
        <f ca="1">(CK149-'2'!Z149)*'2'!V149</f>
        <v>-4.5981120308741909E-3</v>
      </c>
      <c r="CT149" s="2">
        <f>('1'!$I149-$M149)*'2'!W149</f>
        <v>1.6975308641975315E-2</v>
      </c>
      <c r="CU149" s="2">
        <f>('1'!$I149-$M149)*'2'!X149</f>
        <v>2.8876333961079727E-2</v>
      </c>
      <c r="CV149" s="2">
        <f>('1'!$I149-$M149)*'2'!Y149</f>
        <v>3.5493827160493839E-2</v>
      </c>
      <c r="CW149" s="2">
        <f>('1'!$I149-$M149)</f>
        <v>0.33333333333333337</v>
      </c>
      <c r="CX149" s="2">
        <f>('1'!$J149-$N149)*'2'!V149</f>
        <v>2.4691358024691364E-2</v>
      </c>
      <c r="CY149" s="2">
        <f>('1'!$J149-$N149)*'2'!W149</f>
        <v>1.6975308641975315E-2</v>
      </c>
      <c r="CZ149" s="2">
        <f>('1'!$J149-$N149)*'2'!X149</f>
        <v>2.8876333961079727E-2</v>
      </c>
      <c r="DA149" s="2">
        <f>('1'!$J149-$N149)*'2'!Y149</f>
        <v>3.5493827160493839E-2</v>
      </c>
      <c r="DB149" s="2">
        <f>('1'!$J149-$N149)</f>
        <v>0.33333333333333337</v>
      </c>
      <c r="DC149" s="2">
        <f>('1'!$K149-$O149)*'2'!V149</f>
        <v>-4.938271604938272E-2</v>
      </c>
      <c r="DD149" s="2">
        <f>('1'!$K149-$O149)*'2'!W149</f>
        <v>-3.3950617283950622E-2</v>
      </c>
      <c r="DE149" s="2">
        <f>('1'!$K149-$O149)*'2'!X149</f>
        <v>-5.7752667922159447E-2</v>
      </c>
      <c r="DF149" s="2">
        <f>('1'!$K149-$O149)*'2'!Y149</f>
        <v>-7.0987654320987664E-2</v>
      </c>
      <c r="DG149" s="2">
        <f>('1'!$K149-$O149)</f>
        <v>-0.66666666666666663</v>
      </c>
    </row>
    <row r="150" spans="2:111" ht="15" x14ac:dyDescent="0.25">
      <c r="B150" s="1">
        <v>6.9</v>
      </c>
      <c r="C150" s="1">
        <v>3.1</v>
      </c>
      <c r="D150" s="1">
        <v>5.0999999999999996</v>
      </c>
      <c r="E150" s="1">
        <v>2.2999999999999998</v>
      </c>
      <c r="F150" s="1" t="s">
        <v>7</v>
      </c>
      <c r="I150" s="2">
        <f>(B150-B$5)/(B$4-B$5)</f>
        <v>0.72222222222222221</v>
      </c>
      <c r="J150" s="2">
        <f>(C150-C$5)/(C$4-C$5)</f>
        <v>0.45833333333333331</v>
      </c>
      <c r="K150" s="2">
        <f>(D150-D$5)/(D$4-D$5)</f>
        <v>0.69491525423728806</v>
      </c>
      <c r="L150" s="2">
        <f>(E150-E$5)/(E$4-E$5)</f>
        <v>0.91666666666666663</v>
      </c>
      <c r="M150" s="3">
        <f>IF($F150=M$8,1,0)</f>
        <v>0</v>
      </c>
      <c r="N150" s="3">
        <f>IF($F150=N$8,1,0)</f>
        <v>0</v>
      </c>
      <c r="O150" s="3">
        <f>IF($F150=O$8,1,0)</f>
        <v>1</v>
      </c>
      <c r="CD150" s="2">
        <f ca="1">CD$2*$I150+CD$3*$J150+CD$4*$K150+CD$5*$L150+CD$6</f>
        <v>0.19680618169659403</v>
      </c>
      <c r="CE150" s="2">
        <f ca="1">CE$2*$I150+CE$3*$J150+CE$4*$K150+CE$5*$L150+CE$6</f>
        <v>1.3015429269807352E-2</v>
      </c>
      <c r="CF150" s="2">
        <f ca="1">CF$2*$I150+CF$3*$J150+CF$4*$K150+CF$5*$L150+CF$6</f>
        <v>1.040014415484348</v>
      </c>
      <c r="CG150" s="2">
        <f t="shared" ca="1" si="20"/>
        <v>1.2175080424930815</v>
      </c>
      <c r="CH150" s="2">
        <f t="shared" ca="1" si="17"/>
        <v>1.0131004986401546</v>
      </c>
      <c r="CI150" s="2">
        <f t="shared" ca="1" si="18"/>
        <v>2.8292577991791128</v>
      </c>
      <c r="CJ150" s="2">
        <f t="shared" ca="1" si="21"/>
        <v>5.0598663403123485</v>
      </c>
      <c r="CK150" s="2">
        <f ca="1">CG150/'1'!$H150</f>
        <v>0.27775388737313306</v>
      </c>
      <c r="CL150" s="2">
        <f t="shared" ca="1" si="22"/>
        <v>0.2002227787261304</v>
      </c>
      <c r="CM150" s="2">
        <f t="shared" ca="1" si="23"/>
        <v>0.55915662764413276</v>
      </c>
      <c r="CN150" s="2">
        <f ca="1">-$M150*LOG(CK150)</f>
        <v>0</v>
      </c>
      <c r="CO150" s="2">
        <f ca="1">-$N150*LOG(CL150)</f>
        <v>0</v>
      </c>
      <c r="CP150" s="2">
        <f ca="1">-$O150*LOG(CM150)</f>
        <v>0.25246652307307998</v>
      </c>
      <c r="CQ150" s="2">
        <f t="shared" ca="1" si="19"/>
        <v>0.25246652307307998</v>
      </c>
      <c r="CR150" s="2"/>
      <c r="CS150" s="2">
        <f ca="1">(CK150-'2'!Z150)*'2'!V150</f>
        <v>-4.4600789968061985E-3</v>
      </c>
      <c r="CT150" s="2">
        <f>('1'!$I150-$M150)*'2'!W150</f>
        <v>1.6975308641975315E-2</v>
      </c>
      <c r="CU150" s="2">
        <f>('1'!$I150-$M150)*'2'!X150</f>
        <v>2.5737602008788458E-2</v>
      </c>
      <c r="CV150" s="2">
        <f>('1'!$I150-$M150)*'2'!Y150</f>
        <v>3.3950617283950629E-2</v>
      </c>
      <c r="CW150" s="2">
        <f>('1'!$I150-$M150)</f>
        <v>0.33333333333333337</v>
      </c>
      <c r="CX150" s="2">
        <f>('1'!$J150-$N150)*'2'!V150</f>
        <v>2.6748971193415644E-2</v>
      </c>
      <c r="CY150" s="2">
        <f>('1'!$J150-$N150)*'2'!W150</f>
        <v>1.6975308641975315E-2</v>
      </c>
      <c r="CZ150" s="2">
        <f>('1'!$J150-$N150)*'2'!X150</f>
        <v>2.5737602008788458E-2</v>
      </c>
      <c r="DA150" s="2">
        <f>('1'!$J150-$N150)*'2'!Y150</f>
        <v>3.3950617283950629E-2</v>
      </c>
      <c r="DB150" s="2">
        <f>('1'!$J150-$N150)</f>
        <v>0.33333333333333337</v>
      </c>
      <c r="DC150" s="2">
        <f>('1'!$K150-$O150)*'2'!V150</f>
        <v>-5.3497942386831282E-2</v>
      </c>
      <c r="DD150" s="2">
        <f>('1'!$K150-$O150)*'2'!W150</f>
        <v>-3.3950617283950622E-2</v>
      </c>
      <c r="DE150" s="2">
        <f>('1'!$K150-$O150)*'2'!X150</f>
        <v>-5.1475204017576909E-2</v>
      </c>
      <c r="DF150" s="2">
        <f>('1'!$K150-$O150)*'2'!Y150</f>
        <v>-6.7901234567901245E-2</v>
      </c>
      <c r="DG150" s="2">
        <f>('1'!$K150-$O150)</f>
        <v>-0.66666666666666663</v>
      </c>
    </row>
    <row r="151" spans="2:111" ht="15" x14ac:dyDescent="0.25">
      <c r="B151" s="1">
        <v>5.8</v>
      </c>
      <c r="C151" s="1">
        <v>2.7</v>
      </c>
      <c r="D151" s="1">
        <v>5.0999999999999996</v>
      </c>
      <c r="E151" s="1">
        <v>1.9</v>
      </c>
      <c r="F151" s="1" t="s">
        <v>7</v>
      </c>
      <c r="I151" s="2">
        <f>(B151-B$5)/(B$4-B$5)</f>
        <v>0.41666666666666663</v>
      </c>
      <c r="J151" s="2">
        <f>(C151-C$5)/(C$4-C$5)</f>
        <v>0.29166666666666669</v>
      </c>
      <c r="K151" s="2">
        <f>(D151-D$5)/(D$4-D$5)</f>
        <v>0.69491525423728806</v>
      </c>
      <c r="L151" s="2">
        <f>(E151-E$5)/(E$4-E$5)</f>
        <v>0.75</v>
      </c>
      <c r="M151" s="3">
        <f>IF($F151=M$8,1,0)</f>
        <v>0</v>
      </c>
      <c r="N151" s="3">
        <f>IF($F151=N$8,1,0)</f>
        <v>0</v>
      </c>
      <c r="O151" s="3">
        <f>IF($F151=O$8,1,0)</f>
        <v>1</v>
      </c>
      <c r="CD151" s="2">
        <f ca="1">CD$2*$I151+CD$3*$J151+CD$4*$K151+CD$5*$L151+CD$6</f>
        <v>0.12553329877052133</v>
      </c>
      <c r="CE151" s="2">
        <f ca="1">CE$2*$I151+CE$3*$J151+CE$4*$K151+CE$5*$L151+CE$6</f>
        <v>4.4005772391632711E-2</v>
      </c>
      <c r="CF151" s="2">
        <f ca="1">CF$2*$I151+CF$3*$J151+CF$4*$K151+CF$5*$L151+CF$6</f>
        <v>0.85356124101911934</v>
      </c>
      <c r="CG151" s="2">
        <f t="shared" ca="1" si="20"/>
        <v>1.1337529209103177</v>
      </c>
      <c r="CH151" s="2">
        <f t="shared" ca="1" si="17"/>
        <v>1.0449883869532552</v>
      </c>
      <c r="CI151" s="2">
        <f t="shared" ca="1" si="18"/>
        <v>2.3479937521053889</v>
      </c>
      <c r="CJ151" s="2">
        <f t="shared" ca="1" si="21"/>
        <v>4.5267350599689617</v>
      </c>
      <c r="CK151" s="2">
        <f ca="1">CG151/'1'!$H151</f>
        <v>0.27571050776072187</v>
      </c>
      <c r="CL151" s="2">
        <f t="shared" ca="1" si="22"/>
        <v>0.2308481439955137</v>
      </c>
      <c r="CM151" s="2">
        <f t="shared" ca="1" si="23"/>
        <v>0.5186947592469634</v>
      </c>
      <c r="CN151" s="2">
        <f ca="1">-$M151*LOG(CK151)</f>
        <v>0</v>
      </c>
      <c r="CO151" s="2">
        <f ca="1">-$N151*LOG(CL151)</f>
        <v>0</v>
      </c>
      <c r="CP151" s="2">
        <f ca="1">-$O151*LOG(CM151)</f>
        <v>0.28508813997946875</v>
      </c>
      <c r="CQ151" s="2">
        <f t="shared" ca="1" si="19"/>
        <v>0.28508813997946875</v>
      </c>
      <c r="CR151" s="2"/>
      <c r="CS151" s="2">
        <f ca="1">(CK151-'2'!Z151)*'2'!V151</f>
        <v>-2.6677234061394215E-3</v>
      </c>
      <c r="CT151" s="2">
        <f>('1'!$I151-$M151)*'2'!W151</f>
        <v>1.0802469135802474E-2</v>
      </c>
      <c r="CU151" s="2">
        <f>('1'!$I151-$M151)*'2'!X151</f>
        <v>2.5737602008788458E-2</v>
      </c>
      <c r="CV151" s="2">
        <f>('1'!$I151-$M151)*'2'!Y151</f>
        <v>2.7777777777777783E-2</v>
      </c>
      <c r="CW151" s="2">
        <f>('1'!$I151-$M151)</f>
        <v>0.33333333333333337</v>
      </c>
      <c r="CX151" s="2">
        <f>('1'!$J151-$N151)*'2'!V151</f>
        <v>1.5432098765432101E-2</v>
      </c>
      <c r="CY151" s="2">
        <f>('1'!$J151-$N151)*'2'!W151</f>
        <v>1.0802469135802474E-2</v>
      </c>
      <c r="CZ151" s="2">
        <f>('1'!$J151-$N151)*'2'!X151</f>
        <v>2.5737602008788458E-2</v>
      </c>
      <c r="DA151" s="2">
        <f>('1'!$J151-$N151)*'2'!Y151</f>
        <v>2.7777777777777783E-2</v>
      </c>
      <c r="DB151" s="2">
        <f>('1'!$J151-$N151)</f>
        <v>0.33333333333333337</v>
      </c>
      <c r="DC151" s="2">
        <f>('1'!$K151-$O151)*'2'!V151</f>
        <v>-3.0864197530864199E-2</v>
      </c>
      <c r="DD151" s="2">
        <f>('1'!$K151-$O151)*'2'!W151</f>
        <v>-2.1604938271604944E-2</v>
      </c>
      <c r="DE151" s="2">
        <f>('1'!$K151-$O151)*'2'!X151</f>
        <v>-5.1475204017576909E-2</v>
      </c>
      <c r="DF151" s="2">
        <f>('1'!$K151-$O151)*'2'!Y151</f>
        <v>-5.5555555555555559E-2</v>
      </c>
      <c r="DG151" s="2">
        <f>('1'!$K151-$O151)</f>
        <v>-0.66666666666666663</v>
      </c>
    </row>
    <row r="152" spans="2:111" ht="15" x14ac:dyDescent="0.25">
      <c r="B152" s="1">
        <v>6.8</v>
      </c>
      <c r="C152" s="1">
        <v>3.2</v>
      </c>
      <c r="D152" s="1">
        <v>5.9</v>
      </c>
      <c r="E152" s="1">
        <v>2.2999999999999998</v>
      </c>
      <c r="F152" s="1" t="s">
        <v>7</v>
      </c>
      <c r="I152" s="2">
        <f>(B152-B$5)/(B$4-B$5)</f>
        <v>0.69444444444444431</v>
      </c>
      <c r="J152" s="2">
        <f>(C152-C$5)/(C$4-C$5)</f>
        <v>0.5</v>
      </c>
      <c r="K152" s="2">
        <f>(D152-D$5)/(D$4-D$5)</f>
        <v>0.83050847457627119</v>
      </c>
      <c r="L152" s="2">
        <f>(E152-E$5)/(E$4-E$5)</f>
        <v>0.91666666666666663</v>
      </c>
      <c r="M152" s="3">
        <f>IF($F152=M$8,1,0)</f>
        <v>0</v>
      </c>
      <c r="N152" s="3">
        <f>IF($F152=N$8,1,0)</f>
        <v>0</v>
      </c>
      <c r="O152" s="3">
        <f>IF($F152=O$8,1,0)</f>
        <v>1</v>
      </c>
      <c r="CD152" s="2">
        <f ca="1">CD$2*$I152+CD$3*$J152+CD$4*$K152+CD$5*$L152+CD$6</f>
        <v>0.19466944504713543</v>
      </c>
      <c r="CE152" s="2">
        <f ca="1">CE$2*$I152+CE$3*$J152+CE$4*$K152+CE$5*$L152+CE$6</f>
        <v>1.2315355113270629E-2</v>
      </c>
      <c r="CF152" s="2">
        <f ca="1">CF$2*$I152+CF$3*$J152+CF$4*$K152+CF$5*$L152+CF$6</f>
        <v>1.0902256774534613</v>
      </c>
      <c r="CG152" s="2">
        <f t="shared" ca="1" si="20"/>
        <v>1.2149093258129962</v>
      </c>
      <c r="CH152" s="2">
        <f t="shared" ca="1" si="17"/>
        <v>1.012391501367373</v>
      </c>
      <c r="CI152" s="2">
        <f t="shared" ca="1" si="18"/>
        <v>2.9749453749077102</v>
      </c>
      <c r="CJ152" s="2">
        <f t="shared" ca="1" si="21"/>
        <v>5.2022462020880793</v>
      </c>
      <c r="CK152" s="2">
        <f ca="1">CG152/'1'!$H152</f>
        <v>0.27304878443714892</v>
      </c>
      <c r="CL152" s="2">
        <f t="shared" ca="1" si="22"/>
        <v>0.19460661069078564</v>
      </c>
      <c r="CM152" s="2">
        <f t="shared" ca="1" si="23"/>
        <v>0.57185785895977503</v>
      </c>
      <c r="CN152" s="2">
        <f ca="1">-$M152*LOG(CK152)</f>
        <v>0</v>
      </c>
      <c r="CO152" s="2">
        <f ca="1">-$N152*LOG(CL152)</f>
        <v>0</v>
      </c>
      <c r="CP152" s="2">
        <f ca="1">-$O152*LOG(CM152)</f>
        <v>0.24271190606838519</v>
      </c>
      <c r="CQ152" s="2">
        <f t="shared" ca="1" si="19"/>
        <v>0.24271190606838519</v>
      </c>
      <c r="CR152" s="2"/>
      <c r="CS152" s="2">
        <f ca="1">(CK152-'2'!Z152)*'2'!V152</f>
        <v>-4.651585562977195E-3</v>
      </c>
      <c r="CT152" s="2">
        <f>('1'!$I152-$M152)*'2'!W152</f>
        <v>1.8518518518518524E-2</v>
      </c>
      <c r="CU152" s="2">
        <f>('1'!$I152-$M152)*'2'!X152</f>
        <v>3.0759573132454504E-2</v>
      </c>
      <c r="CV152" s="2">
        <f>('1'!$I152-$M152)*'2'!Y152</f>
        <v>3.3950617283950629E-2</v>
      </c>
      <c r="CW152" s="2">
        <f>('1'!$I152-$M152)</f>
        <v>0.33333333333333337</v>
      </c>
      <c r="CX152" s="2">
        <f>('1'!$J152-$N152)*'2'!V152</f>
        <v>2.5720164609053499E-2</v>
      </c>
      <c r="CY152" s="2">
        <f>('1'!$J152-$N152)*'2'!W152</f>
        <v>1.8518518518518524E-2</v>
      </c>
      <c r="CZ152" s="2">
        <f>('1'!$J152-$N152)*'2'!X152</f>
        <v>3.0759573132454504E-2</v>
      </c>
      <c r="DA152" s="2">
        <f>('1'!$J152-$N152)*'2'!Y152</f>
        <v>3.3950617283950629E-2</v>
      </c>
      <c r="DB152" s="2">
        <f>('1'!$J152-$N152)</f>
        <v>0.33333333333333337</v>
      </c>
      <c r="DC152" s="2">
        <f>('1'!$K152-$O152)*'2'!V152</f>
        <v>-5.1440329218106991E-2</v>
      </c>
      <c r="DD152" s="2">
        <f>('1'!$K152-$O152)*'2'!W152</f>
        <v>-3.7037037037037042E-2</v>
      </c>
      <c r="DE152" s="2">
        <f>('1'!$K152-$O152)*'2'!X152</f>
        <v>-6.1519146264908994E-2</v>
      </c>
      <c r="DF152" s="2">
        <f>('1'!$K152-$O152)*'2'!Y152</f>
        <v>-6.7901234567901245E-2</v>
      </c>
      <c r="DG152" s="2">
        <f>('1'!$K152-$O152)</f>
        <v>-0.66666666666666663</v>
      </c>
    </row>
    <row r="153" spans="2:111" ht="15" x14ac:dyDescent="0.25">
      <c r="B153" s="1">
        <v>6.7</v>
      </c>
      <c r="C153" s="1">
        <v>3.3</v>
      </c>
      <c r="D153" s="1">
        <v>5.7</v>
      </c>
      <c r="E153" s="1">
        <v>2.5</v>
      </c>
      <c r="F153" s="1" t="s">
        <v>7</v>
      </c>
      <c r="I153" s="2">
        <f>(B153-B$5)/(B$4-B$5)</f>
        <v>0.66666666666666663</v>
      </c>
      <c r="J153" s="2">
        <f>(C153-C$5)/(C$4-C$5)</f>
        <v>0.54166666666666652</v>
      </c>
      <c r="K153" s="2">
        <f>(D153-D$5)/(D$4-D$5)</f>
        <v>0.79661016949152541</v>
      </c>
      <c r="L153" s="2">
        <f>(E153-E$5)/(E$4-E$5)</f>
        <v>1</v>
      </c>
      <c r="M153" s="3">
        <f>IF($F153=M$8,1,0)</f>
        <v>0</v>
      </c>
      <c r="N153" s="3">
        <f>IF($F153=N$8,1,0)</f>
        <v>0</v>
      </c>
      <c r="O153" s="3">
        <f>IF($F153=O$8,1,0)</f>
        <v>1</v>
      </c>
      <c r="CD153" s="2">
        <f ca="1">CD$2*$I153+CD$3*$J153+CD$4*$K153+CD$5*$L153+CD$6</f>
        <v>0.19721534810711705</v>
      </c>
      <c r="CE153" s="2">
        <f ca="1">CE$2*$I153+CE$3*$J153+CE$4*$K153+CE$5*$L153+CE$6</f>
        <v>6.2425592752315823E-3</v>
      </c>
      <c r="CF153" s="2">
        <f ca="1">CF$2*$I153+CF$3*$J153+CF$4*$K153+CF$5*$L153+CF$6</f>
        <v>1.1081321717282988</v>
      </c>
      <c r="CG153" s="2">
        <f t="shared" ca="1" si="20"/>
        <v>1.2180063078183772</v>
      </c>
      <c r="CH153" s="2">
        <f t="shared" ca="1" si="17"/>
        <v>1.0062620846566896</v>
      </c>
      <c r="CI153" s="2">
        <f t="shared" ca="1" si="18"/>
        <v>3.0286960238542346</v>
      </c>
      <c r="CJ153" s="2">
        <f t="shared" ca="1" si="21"/>
        <v>5.2529644163293021</v>
      </c>
      <c r="CK153" s="2">
        <f ca="1">CG153/'1'!$H153</f>
        <v>0.27201684326268144</v>
      </c>
      <c r="CL153" s="2">
        <f t="shared" ca="1" si="22"/>
        <v>0.19156080355858407</v>
      </c>
      <c r="CM153" s="2">
        <f t="shared" ca="1" si="23"/>
        <v>0.57656892067253807</v>
      </c>
      <c r="CN153" s="2">
        <f ca="1">-$M153*LOG(CK153)</f>
        <v>0</v>
      </c>
      <c r="CO153" s="2">
        <f ca="1">-$N153*LOG(CL153)</f>
        <v>0</v>
      </c>
      <c r="CP153" s="2">
        <f ca="1">-$O153*LOG(CM153)</f>
        <v>0.23914877149376612</v>
      </c>
      <c r="CQ153" s="2">
        <f t="shared" ca="1" si="19"/>
        <v>0.23914877149376612</v>
      </c>
      <c r="CR153" s="2"/>
      <c r="CS153" s="2">
        <f ca="1">(CK153-'2'!Z153)*'2'!V153</f>
        <v>-4.5419622274556941E-3</v>
      </c>
      <c r="CT153" s="2">
        <f>('1'!$I153-$M153)*'2'!W153</f>
        <v>2.006172839506172E-2</v>
      </c>
      <c r="CU153" s="2">
        <f>('1'!$I153-$M153)*'2'!X153</f>
        <v>2.9504080351537974E-2</v>
      </c>
      <c r="CV153" s="2">
        <f>('1'!$I153-$M153)*'2'!Y153</f>
        <v>3.7037037037037035E-2</v>
      </c>
      <c r="CW153" s="2">
        <f>('1'!$I153-$M153)</f>
        <v>0.33333333333333331</v>
      </c>
      <c r="CX153" s="2">
        <f>('1'!$J153-$N153)*'2'!V153</f>
        <v>2.4691358024691357E-2</v>
      </c>
      <c r="CY153" s="2">
        <f>('1'!$J153-$N153)*'2'!W153</f>
        <v>2.006172839506172E-2</v>
      </c>
      <c r="CZ153" s="2">
        <f>('1'!$J153-$N153)*'2'!X153</f>
        <v>2.9504080351537974E-2</v>
      </c>
      <c r="DA153" s="2">
        <f>('1'!$J153-$N153)*'2'!Y153</f>
        <v>3.7037037037037035E-2</v>
      </c>
      <c r="DB153" s="2">
        <f>('1'!$J153-$N153)</f>
        <v>0.33333333333333331</v>
      </c>
      <c r="DC153" s="2">
        <f>('1'!$K153-$O153)*'2'!V153</f>
        <v>-4.938271604938272E-2</v>
      </c>
      <c r="DD153" s="2">
        <f>('1'!$K153-$O153)*'2'!W153</f>
        <v>-4.0123456790123448E-2</v>
      </c>
      <c r="DE153" s="2">
        <f>('1'!$K153-$O153)*'2'!X153</f>
        <v>-5.9008160703075963E-2</v>
      </c>
      <c r="DF153" s="2">
        <f>('1'!$K153-$O153)*'2'!Y153</f>
        <v>-7.4074074074074084E-2</v>
      </c>
      <c r="DG153" s="2">
        <f>('1'!$K153-$O153)</f>
        <v>-0.66666666666666674</v>
      </c>
    </row>
    <row r="154" spans="2:111" ht="15" x14ac:dyDescent="0.25">
      <c r="B154" s="1">
        <v>6.7</v>
      </c>
      <c r="C154" s="1">
        <v>3</v>
      </c>
      <c r="D154" s="1">
        <v>5.2</v>
      </c>
      <c r="E154" s="1">
        <v>2.2999999999999998</v>
      </c>
      <c r="F154" s="1" t="s">
        <v>7</v>
      </c>
      <c r="I154" s="2">
        <f>(B154-B$5)/(B$4-B$5)</f>
        <v>0.66666666666666663</v>
      </c>
      <c r="J154" s="2">
        <f>(C154-C$5)/(C$4-C$5)</f>
        <v>0.41666666666666663</v>
      </c>
      <c r="K154" s="2">
        <f>(D154-D$5)/(D$4-D$5)</f>
        <v>0.71186440677966101</v>
      </c>
      <c r="L154" s="2">
        <f>(E154-E$5)/(E$4-E$5)</f>
        <v>0.91666666666666663</v>
      </c>
      <c r="M154" s="3">
        <f>IF($F154=M$8,1,0)</f>
        <v>0</v>
      </c>
      <c r="N154" s="3">
        <f>IF($F154=N$8,1,0)</f>
        <v>0</v>
      </c>
      <c r="O154" s="3">
        <f>IF($F154=O$8,1,0)</f>
        <v>1</v>
      </c>
      <c r="CD154" s="2">
        <f ca="1">CD$2*$I154+CD$3*$J154+CD$4*$K154+CD$5*$L154+CD$6</f>
        <v>0.17736910669066291</v>
      </c>
      <c r="CE154" s="2">
        <f ca="1">CE$2*$I154+CE$3*$J154+CE$4*$K154+CE$5*$L154+CE$6</f>
        <v>1.8825649351345494E-2</v>
      </c>
      <c r="CF154" s="2">
        <f ca="1">CF$2*$I154+CF$3*$J154+CF$4*$K154+CF$5*$L154+CF$6</f>
        <v>1.0238978982354701</v>
      </c>
      <c r="CG154" s="2">
        <f t="shared" ca="1" si="20"/>
        <v>1.1940717516698005</v>
      </c>
      <c r="CH154" s="2">
        <f t="shared" ca="1" si="17"/>
        <v>1.0190039691255923</v>
      </c>
      <c r="CI154" s="2">
        <f t="shared" ca="1" si="18"/>
        <v>2.7840254897617074</v>
      </c>
      <c r="CJ154" s="2">
        <f t="shared" ca="1" si="21"/>
        <v>4.9971012105571004</v>
      </c>
      <c r="CK154" s="2">
        <f ca="1">CG154/'1'!$H154</f>
        <v>0.27460279077201882</v>
      </c>
      <c r="CL154" s="2">
        <f t="shared" ca="1" si="22"/>
        <v>0.20391901748413635</v>
      </c>
      <c r="CM154" s="2">
        <f t="shared" ca="1" si="23"/>
        <v>0.55712809736173641</v>
      </c>
      <c r="CN154" s="2">
        <f ca="1">-$M154*LOG(CK154)</f>
        <v>0</v>
      </c>
      <c r="CO154" s="2">
        <f ca="1">-$N154*LOG(CL154)</f>
        <v>0</v>
      </c>
      <c r="CP154" s="2">
        <f ca="1">-$O154*LOG(CM154)</f>
        <v>0.25404493843258558</v>
      </c>
      <c r="CQ154" s="2">
        <f t="shared" ca="1" si="19"/>
        <v>0.25404493843258558</v>
      </c>
      <c r="CR154" s="2"/>
      <c r="CS154" s="2">
        <f ca="1">(CK154-'2'!Z154)*'2'!V154</f>
        <v>-4.3504105600973694E-3</v>
      </c>
      <c r="CT154" s="2">
        <f>('1'!$I154-$M154)*'2'!W154</f>
        <v>1.5432098765432094E-2</v>
      </c>
      <c r="CU154" s="2">
        <f>('1'!$I154-$M154)*'2'!X154</f>
        <v>2.6365348399246702E-2</v>
      </c>
      <c r="CV154" s="2">
        <f>('1'!$I154-$M154)*'2'!Y154</f>
        <v>3.3950617283950608E-2</v>
      </c>
      <c r="CW154" s="2">
        <f>('1'!$I154-$M154)</f>
        <v>0.33333333333333331</v>
      </c>
      <c r="CX154" s="2">
        <f>('1'!$J154-$N154)*'2'!V154</f>
        <v>2.4691358024691357E-2</v>
      </c>
      <c r="CY154" s="2">
        <f>('1'!$J154-$N154)*'2'!W154</f>
        <v>1.5432098765432094E-2</v>
      </c>
      <c r="CZ154" s="2">
        <f>('1'!$J154-$N154)*'2'!X154</f>
        <v>2.6365348399246702E-2</v>
      </c>
      <c r="DA154" s="2">
        <f>('1'!$J154-$N154)*'2'!Y154</f>
        <v>3.3950617283950608E-2</v>
      </c>
      <c r="DB154" s="2">
        <f>('1'!$J154-$N154)</f>
        <v>0.33333333333333331</v>
      </c>
      <c r="DC154" s="2">
        <f>('1'!$K154-$O154)*'2'!V154</f>
        <v>-4.938271604938272E-2</v>
      </c>
      <c r="DD154" s="2">
        <f>('1'!$K154-$O154)*'2'!W154</f>
        <v>-3.0864197530864196E-2</v>
      </c>
      <c r="DE154" s="2">
        <f>('1'!$K154-$O154)*'2'!X154</f>
        <v>-5.2730696798493411E-2</v>
      </c>
      <c r="DF154" s="2">
        <f>('1'!$K154-$O154)*'2'!Y154</f>
        <v>-6.7901234567901231E-2</v>
      </c>
      <c r="DG154" s="2">
        <f>('1'!$K154-$O154)</f>
        <v>-0.66666666666666674</v>
      </c>
    </row>
    <row r="155" spans="2:111" ht="15" x14ac:dyDescent="0.25">
      <c r="B155" s="1">
        <v>6.3</v>
      </c>
      <c r="C155" s="1">
        <v>2.5</v>
      </c>
      <c r="D155" s="1">
        <v>5</v>
      </c>
      <c r="E155" s="1">
        <v>1.9</v>
      </c>
      <c r="F155" s="1" t="s">
        <v>7</v>
      </c>
      <c r="I155" s="2">
        <f>(B155-B$5)/(B$4-B$5)</f>
        <v>0.55555555555555547</v>
      </c>
      <c r="J155" s="2">
        <f>(C155-C$5)/(C$4-C$5)</f>
        <v>0.20833333333333331</v>
      </c>
      <c r="K155" s="2">
        <f>(D155-D$5)/(D$4-D$5)</f>
        <v>0.67796610169491522</v>
      </c>
      <c r="L155" s="2">
        <f>(E155-E$5)/(E$4-E$5)</f>
        <v>0.75</v>
      </c>
      <c r="M155" s="3">
        <f>IF($F155=M$8,1,0)</f>
        <v>0</v>
      </c>
      <c r="N155" s="3">
        <f>IF($F155=N$8,1,0)</f>
        <v>0</v>
      </c>
      <c r="O155" s="3">
        <f>IF($F155=O$8,1,0)</f>
        <v>1</v>
      </c>
      <c r="CD155" s="2">
        <f ca="1">CD$2*$I155+CD$3*$J155+CD$4*$K155+CD$5*$L155+CD$6</f>
        <v>0.12417003232706676</v>
      </c>
      <c r="CE155" s="2">
        <f ca="1">CE$2*$I155+CE$3*$J155+CE$4*$K155+CE$5*$L155+CE$6</f>
        <v>4.6191139501401628E-2</v>
      </c>
      <c r="CF155" s="2">
        <f ca="1">CF$2*$I155+CF$3*$J155+CF$4*$K155+CF$5*$L155+CF$6</f>
        <v>0.87954679823593296</v>
      </c>
      <c r="CG155" s="2">
        <f t="shared" ca="1" si="20"/>
        <v>1.1322083666567762</v>
      </c>
      <c r="CH155" s="2">
        <f t="shared" ca="1" si="17"/>
        <v>1.0472745673660666</v>
      </c>
      <c r="CI155" s="2">
        <f t="shared" ca="1" si="18"/>
        <v>2.4098073299694365</v>
      </c>
      <c r="CJ155" s="2">
        <f t="shared" ca="1" si="21"/>
        <v>4.5892902639922788</v>
      </c>
      <c r="CK155" s="2">
        <f ca="1">CG155/'1'!$H155</f>
        <v>0.27427397719728841</v>
      </c>
      <c r="CL155" s="2">
        <f t="shared" ca="1" si="22"/>
        <v>0.22819967949794265</v>
      </c>
      <c r="CM155" s="2">
        <f t="shared" ca="1" si="23"/>
        <v>0.52509368363053077</v>
      </c>
      <c r="CN155" s="2">
        <f ca="1">-$M155*LOG(CK155)</f>
        <v>0</v>
      </c>
      <c r="CO155" s="2">
        <f ca="1">-$N155*LOG(CL155)</f>
        <v>0</v>
      </c>
      <c r="CP155" s="2">
        <f ca="1">-$O155*LOG(CM155)</f>
        <v>0.27976320582435971</v>
      </c>
      <c r="CQ155" s="2">
        <f t="shared" ca="1" si="19"/>
        <v>0.27976320582435971</v>
      </c>
      <c r="CR155" s="2"/>
      <c r="CS155" s="2">
        <f ca="1">(CK155-'2'!Z155)*'2'!V155</f>
        <v>-3.6456392676570918E-3</v>
      </c>
      <c r="CT155" s="2">
        <f>('1'!$I155-$M155)*'2'!W155</f>
        <v>7.7160493827160472E-3</v>
      </c>
      <c r="CU155" s="2">
        <f>('1'!$I155-$M155)*'2'!X155</f>
        <v>2.5109855618330186E-2</v>
      </c>
      <c r="CV155" s="2">
        <f>('1'!$I155-$M155)*'2'!Y155</f>
        <v>2.7777777777777776E-2</v>
      </c>
      <c r="CW155" s="2">
        <f>('1'!$I155-$M155)</f>
        <v>0.33333333333333331</v>
      </c>
      <c r="CX155" s="2">
        <f>('1'!$J155-$N155)*'2'!V155</f>
        <v>2.0576131687242791E-2</v>
      </c>
      <c r="CY155" s="2">
        <f>('1'!$J155-$N155)*'2'!W155</f>
        <v>7.7160493827160472E-3</v>
      </c>
      <c r="CZ155" s="2">
        <f>('1'!$J155-$N155)*'2'!X155</f>
        <v>2.5109855618330186E-2</v>
      </c>
      <c r="DA155" s="2">
        <f>('1'!$J155-$N155)*'2'!Y155</f>
        <v>2.7777777777777776E-2</v>
      </c>
      <c r="DB155" s="2">
        <f>('1'!$J155-$N155)</f>
        <v>0.33333333333333331</v>
      </c>
      <c r="DC155" s="2">
        <f>('1'!$K155-$O155)*'2'!V155</f>
        <v>-4.115226337448559E-2</v>
      </c>
      <c r="DD155" s="2">
        <f>('1'!$K155-$O155)*'2'!W155</f>
        <v>-1.5432098765432098E-2</v>
      </c>
      <c r="DE155" s="2">
        <f>('1'!$K155-$O155)*'2'!X155</f>
        <v>-5.0219711236660379E-2</v>
      </c>
      <c r="DF155" s="2">
        <f>('1'!$K155-$O155)*'2'!Y155</f>
        <v>-5.5555555555555559E-2</v>
      </c>
      <c r="DG155" s="2">
        <f>('1'!$K155-$O155)</f>
        <v>-0.66666666666666674</v>
      </c>
    </row>
    <row r="156" spans="2:111" ht="15" x14ac:dyDescent="0.25">
      <c r="B156" s="1">
        <v>6.5</v>
      </c>
      <c r="C156" s="1">
        <v>3</v>
      </c>
      <c r="D156" s="1">
        <v>5.2</v>
      </c>
      <c r="E156" s="1">
        <v>2</v>
      </c>
      <c r="F156" s="1" t="s">
        <v>7</v>
      </c>
      <c r="I156" s="2">
        <f>(B156-B$5)/(B$4-B$5)</f>
        <v>0.61111111111111105</v>
      </c>
      <c r="J156" s="2">
        <f>(C156-C$5)/(C$4-C$5)</f>
        <v>0.41666666666666663</v>
      </c>
      <c r="K156" s="2">
        <f>(D156-D$5)/(D$4-D$5)</f>
        <v>0.71186440677966101</v>
      </c>
      <c r="L156" s="2">
        <f>(E156-E$5)/(E$4-E$5)</f>
        <v>0.79166666666666663</v>
      </c>
      <c r="M156" s="3">
        <f>IF($F156=M$8,1,0)</f>
        <v>0</v>
      </c>
      <c r="N156" s="3">
        <f>IF($F156=N$8,1,0)</f>
        <v>0</v>
      </c>
      <c r="O156" s="3">
        <f>IF($F156=O$8,1,0)</f>
        <v>1</v>
      </c>
      <c r="CD156" s="2">
        <f ca="1">CD$2*$I156+CD$3*$J156+CD$4*$K156+CD$5*$L156+CD$6</f>
        <v>0.17977183849595063</v>
      </c>
      <c r="CE156" s="2">
        <f ca="1">CE$2*$I156+CE$3*$J156+CE$4*$K156+CE$5*$L156+CE$6</f>
        <v>2.513305169211516E-2</v>
      </c>
      <c r="CF156" s="2">
        <f ca="1">CF$2*$I156+CF$3*$J156+CF$4*$K156+CF$5*$L156+CF$6</f>
        <v>0.95464490694950788</v>
      </c>
      <c r="CG156" s="2">
        <f t="shared" ca="1" si="20"/>
        <v>1.1969442353673707</v>
      </c>
      <c r="CH156" s="2">
        <f t="shared" ca="1" si="17"/>
        <v>1.0254515495120184</v>
      </c>
      <c r="CI156" s="2">
        <f t="shared" ca="1" si="18"/>
        <v>2.5977479768702012</v>
      </c>
      <c r="CJ156" s="2">
        <f t="shared" ca="1" si="21"/>
        <v>4.8201437617495904</v>
      </c>
      <c r="CK156" s="2">
        <f ca="1">CG156/'1'!$H156</f>
        <v>0.28027855381084854</v>
      </c>
      <c r="CL156" s="2">
        <f t="shared" ca="1" si="22"/>
        <v>0.21274293884126921</v>
      </c>
      <c r="CM156" s="2">
        <f t="shared" ca="1" si="23"/>
        <v>0.53893578807435494</v>
      </c>
      <c r="CN156" s="2">
        <f ca="1">-$M156*LOG(CK156)</f>
        <v>0</v>
      </c>
      <c r="CO156" s="2">
        <f ca="1">-$N156*LOG(CL156)</f>
        <v>0</v>
      </c>
      <c r="CP156" s="2">
        <f ca="1">-$O156*LOG(CM156)</f>
        <v>0.26846297608639008</v>
      </c>
      <c r="CQ156" s="2">
        <f t="shared" ca="1" si="19"/>
        <v>0.26846297608639008</v>
      </c>
      <c r="CR156" s="2"/>
      <c r="CS156" s="2">
        <f ca="1">(CK156-'2'!Z156)*'2'!V156</f>
        <v>-3.6024850293045261E-3</v>
      </c>
      <c r="CT156" s="2">
        <f>('1'!$I156-$M156)*'2'!W156</f>
        <v>1.5432098765432101E-2</v>
      </c>
      <c r="CU156" s="2">
        <f>('1'!$I156-$M156)*'2'!X156</f>
        <v>2.6365348399246716E-2</v>
      </c>
      <c r="CV156" s="2">
        <f>('1'!$I156-$M156)*'2'!Y156</f>
        <v>2.9320987654320996E-2</v>
      </c>
      <c r="CW156" s="2">
        <f>('1'!$I156-$M156)</f>
        <v>0.33333333333333337</v>
      </c>
      <c r="CX156" s="2">
        <f>('1'!$J156-$N156)*'2'!V156</f>
        <v>2.2633744855967083E-2</v>
      </c>
      <c r="CY156" s="2">
        <f>('1'!$J156-$N156)*'2'!W156</f>
        <v>1.5432098765432101E-2</v>
      </c>
      <c r="CZ156" s="2">
        <f>('1'!$J156-$N156)*'2'!X156</f>
        <v>2.6365348399246716E-2</v>
      </c>
      <c r="DA156" s="2">
        <f>('1'!$J156-$N156)*'2'!Y156</f>
        <v>2.9320987654320996E-2</v>
      </c>
      <c r="DB156" s="2">
        <f>('1'!$J156-$N156)</f>
        <v>0.33333333333333337</v>
      </c>
      <c r="DC156" s="2">
        <f>('1'!$K156-$O156)*'2'!V156</f>
        <v>-4.5267489711934158E-2</v>
      </c>
      <c r="DD156" s="2">
        <f>('1'!$K156-$O156)*'2'!W156</f>
        <v>-3.0864197530864199E-2</v>
      </c>
      <c r="DE156" s="2">
        <f>('1'!$K156-$O156)*'2'!X156</f>
        <v>-5.2730696798493418E-2</v>
      </c>
      <c r="DF156" s="2">
        <f>('1'!$K156-$O156)*'2'!Y156</f>
        <v>-5.8641975308641986E-2</v>
      </c>
      <c r="DG156" s="2">
        <f>('1'!$K156-$O156)</f>
        <v>-0.66666666666666663</v>
      </c>
    </row>
    <row r="157" spans="2:111" ht="15" x14ac:dyDescent="0.25">
      <c r="B157" s="1">
        <v>6.2</v>
      </c>
      <c r="C157" s="1">
        <v>3.4</v>
      </c>
      <c r="D157" s="1">
        <v>5.4</v>
      </c>
      <c r="E157" s="1">
        <v>2.2999999999999998</v>
      </c>
      <c r="F157" s="1" t="s">
        <v>7</v>
      </c>
      <c r="I157" s="2">
        <f>(B157-B$5)/(B$4-B$5)</f>
        <v>0.52777777777777779</v>
      </c>
      <c r="J157" s="2">
        <f>(C157-C$5)/(C$4-C$5)</f>
        <v>0.58333333333333326</v>
      </c>
      <c r="K157" s="2">
        <f>(D157-D$5)/(D$4-D$5)</f>
        <v>0.74576271186440679</v>
      </c>
      <c r="L157" s="2">
        <f>(E157-E$5)/(E$4-E$5)</f>
        <v>0.91666666666666663</v>
      </c>
      <c r="M157" s="3">
        <f>IF($F157=M$8,1,0)</f>
        <v>0</v>
      </c>
      <c r="N157" s="3">
        <f>IF($F157=N$8,1,0)</f>
        <v>0</v>
      </c>
      <c r="O157" s="3">
        <f>IF($F157=O$8,1,0)</f>
        <v>1</v>
      </c>
      <c r="CD157" s="2">
        <f ca="1">CD$2*$I157+CD$3*$J157+CD$4*$K157+CD$5*$L157+CD$6</f>
        <v>0.19904539771295399</v>
      </c>
      <c r="CE157" s="2">
        <f ca="1">CE$2*$I157+CE$3*$J157+CE$4*$K157+CE$5*$L157+CE$6</f>
        <v>9.622608207865882E-3</v>
      </c>
      <c r="CF157" s="2">
        <f ca="1">CF$2*$I157+CF$3*$J157+CF$4*$K157+CF$5*$L157+CF$6</f>
        <v>1.0154164754401644</v>
      </c>
      <c r="CG157" s="2">
        <f t="shared" ca="1" si="20"/>
        <v>1.2202373606278996</v>
      </c>
      <c r="CH157" s="2">
        <f t="shared" ca="1" si="17"/>
        <v>1.009669054360397</v>
      </c>
      <c r="CI157" s="2">
        <f t="shared" ca="1" si="18"/>
        <v>2.7605128438032662</v>
      </c>
      <c r="CJ157" s="2">
        <f t="shared" ca="1" si="21"/>
        <v>4.9904192587915635</v>
      </c>
      <c r="CK157" s="2">
        <f ca="1">CG157/'1'!$H157</f>
        <v>0.27889471334144322</v>
      </c>
      <c r="CL157" s="2">
        <f t="shared" ca="1" si="22"/>
        <v>0.2023214888371703</v>
      </c>
      <c r="CM157" s="2">
        <f t="shared" ca="1" si="23"/>
        <v>0.55316251013180961</v>
      </c>
      <c r="CN157" s="2">
        <f ca="1">-$M157*LOG(CK157)</f>
        <v>0</v>
      </c>
      <c r="CO157" s="2">
        <f ca="1">-$N157*LOG(CL157)</f>
        <v>0</v>
      </c>
      <c r="CP157" s="2">
        <f ca="1">-$O157*LOG(CM157)</f>
        <v>0.25714726130785259</v>
      </c>
      <c r="CQ157" s="2">
        <f t="shared" ca="1" si="19"/>
        <v>0.25714726130785259</v>
      </c>
      <c r="CR157" s="2"/>
      <c r="CS157" s="2">
        <f ca="1">(CK157-'2'!Z157)*'2'!V157</f>
        <v>-3.1923882094009662E-3</v>
      </c>
      <c r="CT157" s="2">
        <f>('1'!$I157-$M157)*'2'!W157</f>
        <v>2.1604938271604944E-2</v>
      </c>
      <c r="CU157" s="2">
        <f>('1'!$I157-$M157)*'2'!X157</f>
        <v>2.7620841180163225E-2</v>
      </c>
      <c r="CV157" s="2">
        <f>('1'!$I157-$M157)*'2'!Y157</f>
        <v>3.3950617283950629E-2</v>
      </c>
      <c r="CW157" s="2">
        <f>('1'!$I157-$M157)</f>
        <v>0.33333333333333337</v>
      </c>
      <c r="CX157" s="2">
        <f>('1'!$J157-$N157)*'2'!V157</f>
        <v>1.9547325102880667E-2</v>
      </c>
      <c r="CY157" s="2">
        <f>('1'!$J157-$N157)*'2'!W157</f>
        <v>2.1604938271604944E-2</v>
      </c>
      <c r="CZ157" s="2">
        <f>('1'!$J157-$N157)*'2'!X157</f>
        <v>2.7620841180163225E-2</v>
      </c>
      <c r="DA157" s="2">
        <f>('1'!$J157-$N157)*'2'!Y157</f>
        <v>3.3950617283950629E-2</v>
      </c>
      <c r="DB157" s="2">
        <f>('1'!$J157-$N157)</f>
        <v>0.33333333333333337</v>
      </c>
      <c r="DC157" s="2">
        <f>('1'!$K157-$O157)*'2'!V157</f>
        <v>-3.9094650205761326E-2</v>
      </c>
      <c r="DD157" s="2">
        <f>('1'!$K157-$O157)*'2'!W157</f>
        <v>-4.3209876543209881E-2</v>
      </c>
      <c r="DE157" s="2">
        <f>('1'!$K157-$O157)*'2'!X157</f>
        <v>-5.5241682360326436E-2</v>
      </c>
      <c r="DF157" s="2">
        <f>('1'!$K157-$O157)*'2'!Y157</f>
        <v>-6.7901234567901245E-2</v>
      </c>
      <c r="DG157" s="2">
        <f>('1'!$K157-$O157)</f>
        <v>-0.66666666666666663</v>
      </c>
    </row>
    <row r="158" spans="2:111" ht="15" x14ac:dyDescent="0.25">
      <c r="B158" s="1">
        <v>5.9</v>
      </c>
      <c r="C158" s="1">
        <v>3</v>
      </c>
      <c r="D158" s="1">
        <v>5.0999999999999996</v>
      </c>
      <c r="E158" s="1">
        <v>1.8</v>
      </c>
      <c r="F158" s="1" t="s">
        <v>7</v>
      </c>
      <c r="I158" s="2">
        <f>(B158-B$5)/(B$4-B$5)</f>
        <v>0.44444444444444453</v>
      </c>
      <c r="J158" s="2">
        <f>(C158-C$5)/(C$4-C$5)</f>
        <v>0.41666666666666663</v>
      </c>
      <c r="K158" s="2">
        <f>(D158-D$5)/(D$4-D$5)</f>
        <v>0.69491525423728806</v>
      </c>
      <c r="L158" s="2">
        <f>(E158-E$5)/(E$4-E$5)</f>
        <v>0.70833333333333337</v>
      </c>
      <c r="M158" s="3">
        <f>IF($F158=M$8,1,0)</f>
        <v>0</v>
      </c>
      <c r="N158" s="3">
        <f>IF($F158=N$8,1,0)</f>
        <v>0</v>
      </c>
      <c r="O158" s="3">
        <f>IF($F158=O$8,1,0)</f>
        <v>1</v>
      </c>
      <c r="CD158" s="2">
        <f ca="1">CD$2*$I158+CD$3*$J158+CD$4*$K158+CD$5*$L158+CD$6</f>
        <v>0.16482099174802606</v>
      </c>
      <c r="CE158" s="2">
        <f ca="1">CE$2*$I158+CE$3*$J158+CE$4*$K158+CE$5*$L158+CE$6</f>
        <v>3.3602499518236587E-2</v>
      </c>
      <c r="CF158" s="2">
        <f ca="1">CF$2*$I158+CF$3*$J158+CF$4*$K158+CF$5*$L158+CF$6</f>
        <v>0.86119824948496304</v>
      </c>
      <c r="CG158" s="2">
        <f t="shared" ca="1" si="20"/>
        <v>1.1791820165059022</v>
      </c>
      <c r="CH158" s="2">
        <f t="shared" ca="1" si="17"/>
        <v>1.0341734405733047</v>
      </c>
      <c r="CI158" s="2">
        <f t="shared" ca="1" si="18"/>
        <v>2.3659940469829541</v>
      </c>
      <c r="CJ158" s="2">
        <f t="shared" ca="1" si="21"/>
        <v>4.5793495040621615</v>
      </c>
      <c r="CK158" s="2">
        <f ca="1">CG158/'1'!$H158</f>
        <v>0.28358956868502938</v>
      </c>
      <c r="CL158" s="2">
        <f t="shared" ca="1" si="22"/>
        <v>0.22583413641084393</v>
      </c>
      <c r="CM158" s="2">
        <f t="shared" ca="1" si="23"/>
        <v>0.51666596858007308</v>
      </c>
      <c r="CN158" s="2">
        <f ca="1">-$M158*LOG(CK158)</f>
        <v>0</v>
      </c>
      <c r="CO158" s="2">
        <f ca="1">-$N158*LOG(CL158)</f>
        <v>0</v>
      </c>
      <c r="CP158" s="2">
        <f ca="1">-$O158*LOG(CM158)</f>
        <v>0.28679014334039088</v>
      </c>
      <c r="CQ158" s="2">
        <f t="shared" ca="1" si="19"/>
        <v>0.28679014334039088</v>
      </c>
      <c r="CR158" s="2"/>
      <c r="CS158" s="2">
        <f ca="1">(CK158-'2'!Z158)*'2'!V158</f>
        <v>-2.4564822048545156E-3</v>
      </c>
      <c r="CT158" s="2">
        <f>('1'!$I158-$M158)*'2'!W158</f>
        <v>1.5432098765432094E-2</v>
      </c>
      <c r="CU158" s="2">
        <f>('1'!$I158-$M158)*'2'!X158</f>
        <v>2.5737602008788444E-2</v>
      </c>
      <c r="CV158" s="2">
        <f>('1'!$I158-$M158)*'2'!Y158</f>
        <v>2.6234567901234563E-2</v>
      </c>
      <c r="CW158" s="2">
        <f>('1'!$I158-$M158)</f>
        <v>0.33333333333333331</v>
      </c>
      <c r="CX158" s="2">
        <f>('1'!$J158-$N158)*'2'!V158</f>
        <v>1.646090534979424E-2</v>
      </c>
      <c r="CY158" s="2">
        <f>('1'!$J158-$N158)*'2'!W158</f>
        <v>1.5432098765432094E-2</v>
      </c>
      <c r="CZ158" s="2">
        <f>('1'!$J158-$N158)*'2'!X158</f>
        <v>2.5737602008788444E-2</v>
      </c>
      <c r="DA158" s="2">
        <f>('1'!$J158-$N158)*'2'!Y158</f>
        <v>2.6234567901234563E-2</v>
      </c>
      <c r="DB158" s="2">
        <f>('1'!$J158-$N158)</f>
        <v>0.33333333333333331</v>
      </c>
      <c r="DC158" s="2">
        <f>('1'!$K158-$O158)*'2'!V158</f>
        <v>-3.2921810699588487E-2</v>
      </c>
      <c r="DD158" s="2">
        <f>('1'!$K158-$O158)*'2'!W158</f>
        <v>-3.0864197530864196E-2</v>
      </c>
      <c r="DE158" s="2">
        <f>('1'!$K158-$O158)*'2'!X158</f>
        <v>-5.1475204017576895E-2</v>
      </c>
      <c r="DF158" s="2">
        <f>('1'!$K158-$O158)*'2'!Y158</f>
        <v>-5.2469135802469133E-2</v>
      </c>
      <c r="DG158" s="2">
        <f>('1'!$K158-$O158)</f>
        <v>-0.66666666666666674</v>
      </c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97AB7-9E04-4D95-8444-B884BD85FB08}">
  <dimension ref="A1:AE158"/>
  <sheetViews>
    <sheetView workbookViewId="0">
      <selection activeCell="B2" sqref="B2"/>
    </sheetView>
    <sheetView tabSelected="1" workbookViewId="1">
      <selection activeCell="X7" sqref="X7"/>
    </sheetView>
  </sheetViews>
  <sheetFormatPr defaultRowHeight="15" x14ac:dyDescent="0.25"/>
  <cols>
    <col min="1" max="1" width="9.140625" style="4"/>
    <col min="2" max="31" width="9.140625" style="1"/>
  </cols>
  <sheetData>
    <row r="1" spans="1:31" x14ac:dyDescent="0.25">
      <c r="B1" s="1" t="s">
        <v>27</v>
      </c>
      <c r="C1" s="1" t="s">
        <v>33</v>
      </c>
      <c r="D1" s="1" t="s">
        <v>34</v>
      </c>
    </row>
    <row r="2" spans="1:31" x14ac:dyDescent="0.25">
      <c r="A2" s="4" t="s">
        <v>28</v>
      </c>
      <c r="B2" s="1">
        <f>Dashboard!B12</f>
        <v>0.1</v>
      </c>
      <c r="C2" s="1">
        <f>Dashboard!B16</f>
        <v>0.1</v>
      </c>
      <c r="D2" s="1">
        <f>Dashboard!B20</f>
        <v>0.1</v>
      </c>
    </row>
    <row r="3" spans="1:31" x14ac:dyDescent="0.25">
      <c r="A3" s="4" t="s">
        <v>29</v>
      </c>
      <c r="B3" s="1">
        <f>Dashboard!B13</f>
        <v>0.1</v>
      </c>
      <c r="C3" s="1">
        <f>Dashboard!B17</f>
        <v>0.1</v>
      </c>
      <c r="D3" s="1">
        <f>Dashboard!B21</f>
        <v>0.1</v>
      </c>
    </row>
    <row r="4" spans="1:31" x14ac:dyDescent="0.25">
      <c r="A4" s="4" t="s">
        <v>30</v>
      </c>
      <c r="B4" s="1">
        <f>Dashboard!B14</f>
        <v>0.1</v>
      </c>
      <c r="C4" s="1">
        <f>Dashboard!B18</f>
        <v>0.1</v>
      </c>
      <c r="D4" s="1">
        <f>Dashboard!B22</f>
        <v>0.1</v>
      </c>
    </row>
    <row r="5" spans="1:31" x14ac:dyDescent="0.25">
      <c r="A5" s="4" t="s">
        <v>31</v>
      </c>
      <c r="B5" s="1">
        <f>Dashboard!B15</f>
        <v>0.1</v>
      </c>
      <c r="C5" s="1">
        <f>Dashboard!B19</f>
        <v>0.1</v>
      </c>
      <c r="D5" s="1">
        <f>Dashboard!B23</f>
        <v>0.1</v>
      </c>
    </row>
    <row r="6" spans="1:31" x14ac:dyDescent="0.25">
      <c r="A6" s="4" t="s">
        <v>32</v>
      </c>
      <c r="B6" s="1">
        <f>Dashboard!B24</f>
        <v>0.1</v>
      </c>
      <c r="C6" s="1">
        <f>Dashboard!B25</f>
        <v>0.1</v>
      </c>
      <c r="D6" s="1">
        <f>Dashboard!B26</f>
        <v>0.1</v>
      </c>
    </row>
    <row r="7" spans="1:31" x14ac:dyDescent="0.25">
      <c r="P7" s="1" t="s">
        <v>61</v>
      </c>
      <c r="Q7" s="2">
        <f>SUM(Q9:Q158)</f>
        <v>11.629629629629621</v>
      </c>
      <c r="R7" s="2">
        <f>SUM(R9:R158)</f>
        <v>-7.5833333333333233</v>
      </c>
      <c r="S7" s="2">
        <f>SUM(S9:S158)</f>
        <v>19.446327683615827</v>
      </c>
      <c r="T7" s="2">
        <f>SUM(T9:T158)</f>
        <v>19.888888888888896</v>
      </c>
      <c r="U7" s="2">
        <f>SUM(U9:U158)</f>
        <v>-5.2569060216001162E-14</v>
      </c>
      <c r="V7" s="2">
        <f>SUM(V9:V158)</f>
        <v>-1.2870370370370343</v>
      </c>
      <c r="W7" s="2">
        <f>SUM(W9:W158)</f>
        <v>5.9166666666666687</v>
      </c>
      <c r="X7" s="2">
        <f>SUM(X9:X158)</f>
        <v>-4.2485875706214697</v>
      </c>
      <c r="Y7" s="2">
        <f>SUM(Y9:Y158)</f>
        <v>-2.6527777777777799</v>
      </c>
      <c r="Z7" s="2">
        <f>SUM(Z9:Z158)</f>
        <v>2.6922908347160046E-14</v>
      </c>
      <c r="AA7" s="2">
        <f>SUM(AA9:AA158)</f>
        <v>-10.342592592592599</v>
      </c>
      <c r="AB7" s="2">
        <f>SUM(AB9:AB158)</f>
        <v>1.6666666666666616</v>
      </c>
      <c r="AC7" s="2">
        <f>SUM(AC9:AC158)</f>
        <v>-15.197740112994351</v>
      </c>
      <c r="AD7" s="2">
        <f>SUM(AD9:AD158)</f>
        <v>-17.236111111111107</v>
      </c>
      <c r="AE7" s="2">
        <f>SUM(AE9:AE158)</f>
        <v>-6.1173288656846125E-14</v>
      </c>
    </row>
    <row r="8" spans="1:31" x14ac:dyDescent="0.25">
      <c r="B8" s="1" t="s">
        <v>27</v>
      </c>
      <c r="C8" s="1" t="s">
        <v>33</v>
      </c>
      <c r="D8" s="1" t="s">
        <v>34</v>
      </c>
      <c r="E8" s="1" t="s">
        <v>35</v>
      </c>
      <c r="F8" s="1" t="s">
        <v>36</v>
      </c>
      <c r="G8" s="1" t="s">
        <v>37</v>
      </c>
      <c r="H8" s="1" t="s">
        <v>38</v>
      </c>
      <c r="I8" s="1" t="s">
        <v>39</v>
      </c>
      <c r="J8" s="1" t="s">
        <v>40</v>
      </c>
      <c r="K8" s="1" t="s">
        <v>41</v>
      </c>
      <c r="L8" s="1" t="s">
        <v>42</v>
      </c>
      <c r="M8" s="1" t="s">
        <v>43</v>
      </c>
      <c r="N8" s="1" t="s">
        <v>44</v>
      </c>
      <c r="O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V8" s="1" t="s">
        <v>51</v>
      </c>
      <c r="W8" s="1" t="s">
        <v>52</v>
      </c>
      <c r="X8" s="1" t="s">
        <v>53</v>
      </c>
      <c r="Y8" s="1" t="s">
        <v>54</v>
      </c>
      <c r="Z8" s="1" t="s">
        <v>55</v>
      </c>
      <c r="AA8" s="1" t="s">
        <v>56</v>
      </c>
      <c r="AB8" s="1" t="s">
        <v>57</v>
      </c>
      <c r="AC8" s="1" t="s">
        <v>58</v>
      </c>
      <c r="AD8" s="1" t="s">
        <v>59</v>
      </c>
      <c r="AE8" s="1" t="s">
        <v>60</v>
      </c>
    </row>
    <row r="9" spans="1:31" x14ac:dyDescent="0.25">
      <c r="B9" s="2">
        <f>B$2*Data!$I9+B$3*Data!$J9+B$4*Data!$K9+B$5*Data!$L9+B$6</f>
        <v>0.19566854990583804</v>
      </c>
      <c r="C9" s="2">
        <f>C$2*Data!$I9+C$3*Data!$J9+C$4*Data!$K9+C$5*Data!$L9+C$6</f>
        <v>0.19566854990583804</v>
      </c>
      <c r="D9" s="2">
        <f>D$2*Data!$I9+D$3*Data!$J9+D$4*Data!$K9+D$5*Data!$L9+D$6</f>
        <v>0.19566854990583804</v>
      </c>
      <c r="E9" s="2">
        <f>EXP(B9)</f>
        <v>1.2161237541929253</v>
      </c>
      <c r="F9" s="2">
        <f>EXP(C9)</f>
        <v>1.2161237541929253</v>
      </c>
      <c r="G9" s="2">
        <f>EXP(D9)</f>
        <v>1.2161237541929253</v>
      </c>
      <c r="H9" s="2">
        <f>SUM(E9:G9)</f>
        <v>3.6483712625787756</v>
      </c>
      <c r="I9" s="2">
        <f>E9/$H9</f>
        <v>0.33333333333333337</v>
      </c>
      <c r="J9" s="2">
        <f>F9/$H9</f>
        <v>0.33333333333333337</v>
      </c>
      <c r="K9" s="2">
        <f>G9/$H9</f>
        <v>0.33333333333333337</v>
      </c>
      <c r="L9" s="2">
        <f>-Data!M9*LOG(I9)</f>
        <v>0.47712125471966238</v>
      </c>
      <c r="M9" s="2">
        <f>-Data!N9*LOG(J9)</f>
        <v>0</v>
      </c>
      <c r="N9" s="2">
        <f>-Data!O9*LOG(K9)</f>
        <v>0</v>
      </c>
      <c r="O9" s="2">
        <f>SUM(L9:N9)</f>
        <v>0.47712125471966238</v>
      </c>
      <c r="P9" s="2"/>
      <c r="Q9" s="2">
        <f>(I9-Data!$M9)*Data!$I9</f>
        <v>-0.14814814814814808</v>
      </c>
      <c r="R9" s="2">
        <f>(I9-Data!$M9)*Data!$J9</f>
        <v>-0.41666666666666657</v>
      </c>
      <c r="S9" s="2">
        <f>(I9-Data!$M9)*Data!$K9</f>
        <v>-4.5197740112994336E-2</v>
      </c>
      <c r="T9" s="2">
        <f>(I9-Data!$M9)*Data!$L9</f>
        <v>-2.777777777777778E-2</v>
      </c>
      <c r="U9" s="2">
        <f>(I9-Data!$M9)</f>
        <v>-0.66666666666666663</v>
      </c>
      <c r="V9" s="2">
        <f>(J9-Data!$N9)*Data!$I9</f>
        <v>7.4074074074074056E-2</v>
      </c>
      <c r="W9" s="2">
        <f>(J9-Data!$N9)*Data!$J9</f>
        <v>0.20833333333333331</v>
      </c>
      <c r="X9" s="2">
        <f>(J9-Data!$N9)*Data!$K9</f>
        <v>2.2598870056497172E-2</v>
      </c>
      <c r="Y9" s="2">
        <f>(J9-Data!$N9)*Data!$L9</f>
        <v>1.3888888888888892E-2</v>
      </c>
      <c r="Z9" s="2">
        <f>(J9-Data!$N9)</f>
        <v>0.33333333333333337</v>
      </c>
      <c r="AA9" s="2">
        <f>(K9-Data!$O9)*Data!$I9</f>
        <v>7.4074074074074056E-2</v>
      </c>
      <c r="AB9" s="2">
        <f>(K9-Data!$O9)*Data!$J9</f>
        <v>0.20833333333333331</v>
      </c>
      <c r="AC9" s="2">
        <f>(K9-Data!$O9)*Data!$K9</f>
        <v>2.2598870056497172E-2</v>
      </c>
      <c r="AD9" s="2">
        <f>(K9-Data!$O9)*Data!$L9</f>
        <v>1.3888888888888892E-2</v>
      </c>
      <c r="AE9" s="2">
        <f>(K9-Data!$O9)</f>
        <v>0.33333333333333337</v>
      </c>
    </row>
    <row r="10" spans="1:31" x14ac:dyDescent="0.25">
      <c r="B10" s="2">
        <f>B$2*Data!$I10+B$3*Data!$J10+B$4*Data!$K10+B$5*Data!$L10+B$6</f>
        <v>0.16927966101694919</v>
      </c>
      <c r="C10" s="2">
        <f>C$2*Data!$I10+C$3*Data!$J10+C$4*Data!$K10+C$5*Data!$L10+C$6</f>
        <v>0.16927966101694919</v>
      </c>
      <c r="D10" s="2">
        <f>D$2*Data!$I10+D$3*Data!$J10+D$4*Data!$K10+D$5*Data!$L10+D$6</f>
        <v>0.16927966101694919</v>
      </c>
      <c r="E10" s="2">
        <f>EXP(B10)</f>
        <v>1.1844513374757142</v>
      </c>
      <c r="F10" s="2">
        <f>EXP(C10)</f>
        <v>1.1844513374757142</v>
      </c>
      <c r="G10" s="2">
        <f>EXP(D10)</f>
        <v>1.1844513374757142</v>
      </c>
      <c r="H10" s="2">
        <f>SUM(E10:G10)</f>
        <v>3.5533540124271425</v>
      </c>
      <c r="I10" s="2">
        <f>E10/$H10</f>
        <v>0.33333333333333331</v>
      </c>
      <c r="J10" s="2">
        <f>F10/$H10</f>
        <v>0.33333333333333331</v>
      </c>
      <c r="K10" s="2">
        <f>G10/$H10</f>
        <v>0.33333333333333331</v>
      </c>
      <c r="L10" s="2">
        <f>-Data!M10*LOG(I10)</f>
        <v>0.47712125471966244</v>
      </c>
      <c r="M10" s="2">
        <f>-Data!N10*LOG(J10)</f>
        <v>0</v>
      </c>
      <c r="N10" s="2">
        <f>-Data!O10*LOG(K10)</f>
        <v>0</v>
      </c>
      <c r="O10" s="2">
        <f>SUM(L10:N10)</f>
        <v>0.47712125471966244</v>
      </c>
      <c r="P10" s="2"/>
      <c r="Q10" s="2">
        <f>(I10-Data!M10)*Data!I10</f>
        <v>-0.11111111111111122</v>
      </c>
      <c r="R10" s="2">
        <f>($I10-Data!$M10)*Data!J10</f>
        <v>-0.27777777777777779</v>
      </c>
      <c r="S10" s="2">
        <f>($I10-Data!$M10)*Data!K10</f>
        <v>-4.5197740112994343E-2</v>
      </c>
      <c r="T10" s="2">
        <f>($I10-Data!$M10)*Data!L10</f>
        <v>-2.7777777777777783E-2</v>
      </c>
      <c r="U10" s="2">
        <f>($I10-Data!$M10)</f>
        <v>-0.66666666666666674</v>
      </c>
      <c r="V10" s="2">
        <f>($J10-Data!$N10)*Data!I10</f>
        <v>5.5555555555555594E-2</v>
      </c>
      <c r="W10" s="2">
        <f>($J10-Data!$N10)*Data!J10</f>
        <v>0.13888888888888887</v>
      </c>
      <c r="X10" s="2">
        <f>($J10-Data!$N10)*Data!K10</f>
        <v>2.2598870056497168E-2</v>
      </c>
      <c r="Y10" s="2">
        <f>($J10-Data!$N10)*Data!L10</f>
        <v>1.388888888888889E-2</v>
      </c>
      <c r="Z10" s="2">
        <f>($J10-Data!$N10)</f>
        <v>0.33333333333333331</v>
      </c>
      <c r="AA10" s="2">
        <f>($K10-Data!$O10)*Data!I10</f>
        <v>5.5555555555555594E-2</v>
      </c>
      <c r="AB10" s="2">
        <f>($K10-Data!$O10)*Data!J10</f>
        <v>0.13888888888888887</v>
      </c>
      <c r="AC10" s="2">
        <f>($K10-Data!$O10)*Data!K10</f>
        <v>2.2598870056497168E-2</v>
      </c>
      <c r="AD10" s="2">
        <f>($K10-Data!$O10)*Data!L10</f>
        <v>1.388888888888889E-2</v>
      </c>
      <c r="AE10" s="2">
        <f>($K10-Data!$O10)</f>
        <v>0.33333333333333331</v>
      </c>
    </row>
    <row r="11" spans="1:31" x14ac:dyDescent="0.25">
      <c r="B11" s="2">
        <f>B$2*Data!$I11+B$3*Data!$J11+B$4*Data!$K11+B$5*Data!$L11+B$6</f>
        <v>0.17036252354048964</v>
      </c>
      <c r="C11" s="2">
        <f>C$2*Data!$I11+C$3*Data!$J11+C$4*Data!$K11+C$5*Data!$L11+C$6</f>
        <v>0.17036252354048964</v>
      </c>
      <c r="D11" s="2">
        <f>D$2*Data!$I11+D$3*Data!$J11+D$4*Data!$K11+D$5*Data!$L11+D$6</f>
        <v>0.17036252354048964</v>
      </c>
      <c r="E11" s="2">
        <f>EXP(B11)</f>
        <v>1.1857346301293865</v>
      </c>
      <c r="F11" s="2">
        <f>EXP(C11)</f>
        <v>1.1857346301293865</v>
      </c>
      <c r="G11" s="2">
        <f>EXP(D11)</f>
        <v>1.1857346301293865</v>
      </c>
      <c r="H11" s="2">
        <f>SUM(E11:G11)</f>
        <v>3.5572038903881595</v>
      </c>
      <c r="I11" s="2">
        <f>E11/$H11</f>
        <v>0.33333333333333331</v>
      </c>
      <c r="J11" s="2">
        <f>F11/$H11</f>
        <v>0.33333333333333331</v>
      </c>
      <c r="K11" s="2">
        <f>G11/$H11</f>
        <v>0.33333333333333331</v>
      </c>
      <c r="L11" s="2">
        <f>-Data!M11*LOG(I11)</f>
        <v>0.47712125471966244</v>
      </c>
      <c r="M11" s="2">
        <f>-Data!N11*LOG(J11)</f>
        <v>0</v>
      </c>
      <c r="N11" s="2">
        <f>-Data!O11*LOG(K11)</f>
        <v>0</v>
      </c>
      <c r="O11" s="2">
        <f>SUM(L11:N11)</f>
        <v>0.47712125471966244</v>
      </c>
      <c r="P11" s="2"/>
      <c r="Q11" s="2">
        <f>(I11-Data!M11)*Data!I11</f>
        <v>-7.4074074074074139E-2</v>
      </c>
      <c r="R11" s="2">
        <f>($I11-Data!$M11)*Data!J11</f>
        <v>-0.33333333333333337</v>
      </c>
      <c r="S11" s="2">
        <f>($I11-Data!$M11)*Data!K11</f>
        <v>-3.389830508474577E-2</v>
      </c>
      <c r="T11" s="2">
        <f>($I11-Data!$M11)*Data!L11</f>
        <v>-2.7777777777777783E-2</v>
      </c>
      <c r="U11" s="2">
        <f>($I11-Data!$M11)</f>
        <v>-0.66666666666666674</v>
      </c>
      <c r="V11" s="2">
        <f>($J11-Data!$N11)*Data!I11</f>
        <v>3.7037037037037063E-2</v>
      </c>
      <c r="W11" s="2">
        <f>($J11-Data!$N11)*Data!J11</f>
        <v>0.16666666666666666</v>
      </c>
      <c r="X11" s="2">
        <f>($J11-Data!$N11)*Data!K11</f>
        <v>1.6949152542372881E-2</v>
      </c>
      <c r="Y11" s="2">
        <f>($J11-Data!$N11)*Data!L11</f>
        <v>1.388888888888889E-2</v>
      </c>
      <c r="Z11" s="2">
        <f>($J11-Data!$N11)</f>
        <v>0.33333333333333331</v>
      </c>
      <c r="AA11" s="2">
        <f>($K11-Data!$O11)*Data!I11</f>
        <v>3.7037037037037063E-2</v>
      </c>
      <c r="AB11" s="2">
        <f>($K11-Data!$O11)*Data!J11</f>
        <v>0.16666666666666666</v>
      </c>
      <c r="AC11" s="2">
        <f>($K11-Data!$O11)*Data!K11</f>
        <v>1.6949152542372881E-2</v>
      </c>
      <c r="AD11" s="2">
        <f>($K11-Data!$O11)*Data!L11</f>
        <v>1.388888888888889E-2</v>
      </c>
      <c r="AE11" s="2">
        <f>($K11-Data!$O11)</f>
        <v>0.33333333333333331</v>
      </c>
    </row>
    <row r="12" spans="1:31" x14ac:dyDescent="0.25">
      <c r="B12" s="2">
        <f>B$2*Data!$I12+B$3*Data!$J12+B$4*Data!$K12+B$5*Data!$L12+B$6</f>
        <v>0.1668079096045198</v>
      </c>
      <c r="C12" s="2">
        <f>C$2*Data!$I12+C$3*Data!$J12+C$4*Data!$K12+C$5*Data!$L12+C$6</f>
        <v>0.1668079096045198</v>
      </c>
      <c r="D12" s="2">
        <f>D$2*Data!$I12+D$3*Data!$J12+D$4*Data!$K12+D$5*Data!$L12+D$6</f>
        <v>0.1668079096045198</v>
      </c>
      <c r="E12" s="2">
        <f>EXP(B12)</f>
        <v>1.181527283465392</v>
      </c>
      <c r="F12" s="2">
        <f>EXP(C12)</f>
        <v>1.181527283465392</v>
      </c>
      <c r="G12" s="2">
        <f>EXP(D12)</f>
        <v>1.181527283465392</v>
      </c>
      <c r="H12" s="2">
        <f>SUM(E12:G12)</f>
        <v>3.5445818503961761</v>
      </c>
      <c r="I12" s="2">
        <f>E12/$H12</f>
        <v>0.33333333333333331</v>
      </c>
      <c r="J12" s="2">
        <f>F12/$H12</f>
        <v>0.33333333333333331</v>
      </c>
      <c r="K12" s="2">
        <f>G12/$H12</f>
        <v>0.33333333333333331</v>
      </c>
      <c r="L12" s="2">
        <f>-Data!M12*LOG(I12)</f>
        <v>0.47712125471966244</v>
      </c>
      <c r="M12" s="2">
        <f>-Data!N12*LOG(J12)</f>
        <v>0</v>
      </c>
      <c r="N12" s="2">
        <f>-Data!O12*LOG(K12)</f>
        <v>0</v>
      </c>
      <c r="O12" s="2">
        <f>SUM(L12:N12)</f>
        <v>0.47712125471966244</v>
      </c>
      <c r="P12" s="2"/>
      <c r="Q12" s="2">
        <f>(I12-Data!M12)*Data!I12</f>
        <v>-5.5555555555555525E-2</v>
      </c>
      <c r="R12" s="2">
        <f>($I12-Data!$M12)*Data!J12</f>
        <v>-0.30555555555555558</v>
      </c>
      <c r="S12" s="2">
        <f>($I12-Data!$M12)*Data!K12</f>
        <v>-5.6497175141242945E-2</v>
      </c>
      <c r="T12" s="2">
        <f>($I12-Data!$M12)*Data!L12</f>
        <v>-2.7777777777777783E-2</v>
      </c>
      <c r="U12" s="2">
        <f>($I12-Data!$M12)</f>
        <v>-0.66666666666666674</v>
      </c>
      <c r="V12" s="2">
        <f>($J12-Data!$N12)*Data!I12</f>
        <v>2.7777777777777755E-2</v>
      </c>
      <c r="W12" s="2">
        <f>($J12-Data!$N12)*Data!J12</f>
        <v>0.15277777777777776</v>
      </c>
      <c r="X12" s="2">
        <f>($J12-Data!$N12)*Data!K12</f>
        <v>2.8248587570621465E-2</v>
      </c>
      <c r="Y12" s="2">
        <f>($J12-Data!$N12)*Data!L12</f>
        <v>1.388888888888889E-2</v>
      </c>
      <c r="Z12" s="2">
        <f>($J12-Data!$N12)</f>
        <v>0.33333333333333331</v>
      </c>
      <c r="AA12" s="2">
        <f>($K12-Data!$O12)*Data!I12</f>
        <v>2.7777777777777755E-2</v>
      </c>
      <c r="AB12" s="2">
        <f>($K12-Data!$O12)*Data!J12</f>
        <v>0.15277777777777776</v>
      </c>
      <c r="AC12" s="2">
        <f>($K12-Data!$O12)*Data!K12</f>
        <v>2.8248587570621465E-2</v>
      </c>
      <c r="AD12" s="2">
        <f>($K12-Data!$O12)*Data!L12</f>
        <v>1.388888888888889E-2</v>
      </c>
      <c r="AE12" s="2">
        <f>($K12-Data!$O12)</f>
        <v>0.33333333333333331</v>
      </c>
    </row>
    <row r="13" spans="1:31" x14ac:dyDescent="0.25">
      <c r="B13" s="2">
        <f>B$2*Data!$I13+B$3*Data!$J13+B$4*Data!$K13+B$5*Data!$L13+B$6</f>
        <v>0.19705743879472692</v>
      </c>
      <c r="C13" s="2">
        <f>C$2*Data!$I13+C$3*Data!$J13+C$4*Data!$K13+C$5*Data!$L13+C$6</f>
        <v>0.19705743879472692</v>
      </c>
      <c r="D13" s="2">
        <f>D$2*Data!$I13+D$3*Data!$J13+D$4*Data!$K13+D$5*Data!$L13+D$6</f>
        <v>0.19705743879472692</v>
      </c>
      <c r="E13" s="2">
        <f>EXP(B13)</f>
        <v>1.2178139884647308</v>
      </c>
      <c r="F13" s="2">
        <f>EXP(C13)</f>
        <v>1.2178139884647308</v>
      </c>
      <c r="G13" s="2">
        <f>EXP(D13)</f>
        <v>1.2178139884647308</v>
      </c>
      <c r="H13" s="2">
        <f>SUM(E13:G13)</f>
        <v>3.6534419653941921</v>
      </c>
      <c r="I13" s="2">
        <f>E13/$H13</f>
        <v>0.33333333333333337</v>
      </c>
      <c r="J13" s="2">
        <f>F13/$H13</f>
        <v>0.33333333333333337</v>
      </c>
      <c r="K13" s="2">
        <f>G13/$H13</f>
        <v>0.33333333333333337</v>
      </c>
      <c r="L13" s="2">
        <f>-Data!M13*LOG(I13)</f>
        <v>0.47712125471966238</v>
      </c>
      <c r="M13" s="2">
        <f>-Data!N13*LOG(J13)</f>
        <v>0</v>
      </c>
      <c r="N13" s="2">
        <f>-Data!O13*LOG(K13)</f>
        <v>0</v>
      </c>
      <c r="O13" s="2">
        <f>SUM(L13:N13)</f>
        <v>0.47712125471966238</v>
      </c>
      <c r="P13" s="2"/>
      <c r="Q13" s="2">
        <f>(I13-Data!M13)*Data!I13</f>
        <v>-0.12962962962962965</v>
      </c>
      <c r="R13" s="2">
        <f>($I13-Data!$M13)*Data!J13</f>
        <v>-0.44444444444444442</v>
      </c>
      <c r="S13" s="2">
        <f>($I13-Data!$M13)*Data!K13</f>
        <v>-4.5197740112994336E-2</v>
      </c>
      <c r="T13" s="2">
        <f>($I13-Data!$M13)*Data!L13</f>
        <v>-2.777777777777778E-2</v>
      </c>
      <c r="U13" s="2">
        <f>($I13-Data!$M13)</f>
        <v>-0.66666666666666663</v>
      </c>
      <c r="V13" s="2">
        <f>($J13-Data!$N13)*Data!I13</f>
        <v>6.4814814814814839E-2</v>
      </c>
      <c r="W13" s="2">
        <f>($J13-Data!$N13)*Data!J13</f>
        <v>0.22222222222222224</v>
      </c>
      <c r="X13" s="2">
        <f>($J13-Data!$N13)*Data!K13</f>
        <v>2.2598870056497172E-2</v>
      </c>
      <c r="Y13" s="2">
        <f>($J13-Data!$N13)*Data!L13</f>
        <v>1.3888888888888892E-2</v>
      </c>
      <c r="Z13" s="2">
        <f>($J13-Data!$N13)</f>
        <v>0.33333333333333337</v>
      </c>
      <c r="AA13" s="2">
        <f>($K13-Data!$O13)*Data!I13</f>
        <v>6.4814814814814839E-2</v>
      </c>
      <c r="AB13" s="2">
        <f>($K13-Data!$O13)*Data!J13</f>
        <v>0.22222222222222224</v>
      </c>
      <c r="AC13" s="2">
        <f>($K13-Data!$O13)*Data!K13</f>
        <v>2.2598870056497172E-2</v>
      </c>
      <c r="AD13" s="2">
        <f>($K13-Data!$O13)*Data!L13</f>
        <v>1.3888888888888892E-2</v>
      </c>
      <c r="AE13" s="2">
        <f>($K13-Data!$O13)</f>
        <v>0.33333333333333337</v>
      </c>
    </row>
    <row r="14" spans="1:31" x14ac:dyDescent="0.25">
      <c r="B14" s="2">
        <f>B$2*Data!$I14+B$3*Data!$J14+B$4*Data!$K14+B$5*Data!$L14+B$6</f>
        <v>0.23408662900188326</v>
      </c>
      <c r="C14" s="2">
        <f>C$2*Data!$I14+C$3*Data!$J14+C$4*Data!$K14+C$5*Data!$L14+C$6</f>
        <v>0.23408662900188326</v>
      </c>
      <c r="D14" s="2">
        <f>D$2*Data!$I14+D$3*Data!$J14+D$4*Data!$K14+D$5*Data!$L14+D$6</f>
        <v>0.23408662900188326</v>
      </c>
      <c r="E14" s="2">
        <f>EXP(B14)</f>
        <v>1.2637539652105731</v>
      </c>
      <c r="F14" s="2">
        <f>EXP(C14)</f>
        <v>1.2637539652105731</v>
      </c>
      <c r="G14" s="2">
        <f>EXP(D14)</f>
        <v>1.2637539652105731</v>
      </c>
      <c r="H14" s="2">
        <f>SUM(E14:G14)</f>
        <v>3.7912618956317194</v>
      </c>
      <c r="I14" s="2">
        <f>E14/$H14</f>
        <v>0.33333333333333331</v>
      </c>
      <c r="J14" s="2">
        <f>F14/$H14</f>
        <v>0.33333333333333331</v>
      </c>
      <c r="K14" s="2">
        <f>G14/$H14</f>
        <v>0.33333333333333331</v>
      </c>
      <c r="L14" s="2">
        <f>-Data!M14*LOG(I14)</f>
        <v>0.47712125471966244</v>
      </c>
      <c r="M14" s="2">
        <f>-Data!N14*LOG(J14)</f>
        <v>0</v>
      </c>
      <c r="N14" s="2">
        <f>-Data!O14*LOG(K14)</f>
        <v>0</v>
      </c>
      <c r="O14" s="2">
        <f>SUM(L14:N14)</f>
        <v>0.47712125471966244</v>
      </c>
      <c r="P14" s="2"/>
      <c r="Q14" s="2">
        <f>(I14-Data!M14)*Data!I14</f>
        <v>-0.20370370370370378</v>
      </c>
      <c r="R14" s="2">
        <f>($I14-Data!$M14)*Data!J14</f>
        <v>-0.52777777777777779</v>
      </c>
      <c r="S14" s="2">
        <f>($I14-Data!$M14)*Data!K14</f>
        <v>-7.909604519774012E-2</v>
      </c>
      <c r="T14" s="2">
        <f>($I14-Data!$M14)*Data!L14</f>
        <v>-8.3333333333333356E-2</v>
      </c>
      <c r="U14" s="2">
        <f>($I14-Data!$M14)</f>
        <v>-0.66666666666666674</v>
      </c>
      <c r="V14" s="2">
        <f>($J14-Data!$N14)*Data!I14</f>
        <v>0.10185185185185187</v>
      </c>
      <c r="W14" s="2">
        <f>($J14-Data!$N14)*Data!J14</f>
        <v>0.26388888888888884</v>
      </c>
      <c r="X14" s="2">
        <f>($J14-Data!$N14)*Data!K14</f>
        <v>3.9548022598870053E-2</v>
      </c>
      <c r="Y14" s="2">
        <f>($J14-Data!$N14)*Data!L14</f>
        <v>4.1666666666666671E-2</v>
      </c>
      <c r="Z14" s="2">
        <f>($J14-Data!$N14)</f>
        <v>0.33333333333333331</v>
      </c>
      <c r="AA14" s="2">
        <f>($K14-Data!$O14)*Data!I14</f>
        <v>0.10185185185185187</v>
      </c>
      <c r="AB14" s="2">
        <f>($K14-Data!$O14)*Data!J14</f>
        <v>0.26388888888888884</v>
      </c>
      <c r="AC14" s="2">
        <f>($K14-Data!$O14)*Data!K14</f>
        <v>3.9548022598870053E-2</v>
      </c>
      <c r="AD14" s="2">
        <f>($K14-Data!$O14)*Data!L14</f>
        <v>4.1666666666666671E-2</v>
      </c>
      <c r="AE14" s="2">
        <f>($K14-Data!$O14)</f>
        <v>0.33333333333333331</v>
      </c>
    </row>
    <row r="15" spans="1:31" x14ac:dyDescent="0.25">
      <c r="B15" s="2">
        <f>B$2*Data!$I15+B$3*Data!$J15+B$4*Data!$K15+B$5*Data!$L15+B$6</f>
        <v>0.18177966101694915</v>
      </c>
      <c r="C15" s="2">
        <f>C$2*Data!$I15+C$3*Data!$J15+C$4*Data!$K15+C$5*Data!$L15+C$6</f>
        <v>0.18177966101694915</v>
      </c>
      <c r="D15" s="2">
        <f>D$2*Data!$I15+D$3*Data!$J15+D$4*Data!$K15+D$5*Data!$L15+D$6</f>
        <v>0.18177966101694915</v>
      </c>
      <c r="E15" s="2">
        <f>EXP(B15)</f>
        <v>1.199349901226392</v>
      </c>
      <c r="F15" s="2">
        <f>EXP(C15)</f>
        <v>1.199349901226392</v>
      </c>
      <c r="G15" s="2">
        <f>EXP(D15)</f>
        <v>1.199349901226392</v>
      </c>
      <c r="H15" s="2">
        <f>SUM(E15:G15)</f>
        <v>3.5980497036791759</v>
      </c>
      <c r="I15" s="2">
        <f>E15/$H15</f>
        <v>0.33333333333333331</v>
      </c>
      <c r="J15" s="2">
        <f>F15/$H15</f>
        <v>0.33333333333333331</v>
      </c>
      <c r="K15" s="2">
        <f>G15/$H15</f>
        <v>0.33333333333333331</v>
      </c>
      <c r="L15" s="2">
        <f>-Data!M15*LOG(I15)</f>
        <v>0.47712125471966244</v>
      </c>
      <c r="M15" s="2">
        <f>-Data!N15*LOG(J15)</f>
        <v>0</v>
      </c>
      <c r="N15" s="2">
        <f>-Data!O15*LOG(K15)</f>
        <v>0</v>
      </c>
      <c r="O15" s="2">
        <f>SUM(L15:N15)</f>
        <v>0.47712125471966244</v>
      </c>
      <c r="P15" s="2"/>
      <c r="Q15" s="2">
        <f>(I15-Data!M15)*Data!I15</f>
        <v>-5.5555555555555525E-2</v>
      </c>
      <c r="R15" s="2">
        <f>($I15-Data!$M15)*Data!J15</f>
        <v>-0.3888888888888889</v>
      </c>
      <c r="S15" s="2">
        <f>($I15-Data!$M15)*Data!K15</f>
        <v>-4.5197740112994343E-2</v>
      </c>
      <c r="T15" s="2">
        <f>($I15-Data!$M15)*Data!L15</f>
        <v>-5.5555555555555559E-2</v>
      </c>
      <c r="U15" s="2">
        <f>($I15-Data!$M15)</f>
        <v>-0.66666666666666674</v>
      </c>
      <c r="V15" s="2">
        <f>($J15-Data!$N15)*Data!I15</f>
        <v>2.7777777777777755E-2</v>
      </c>
      <c r="W15" s="2">
        <f>($J15-Data!$N15)*Data!J15</f>
        <v>0.19444444444444442</v>
      </c>
      <c r="X15" s="2">
        <f>($J15-Data!$N15)*Data!K15</f>
        <v>2.2598870056497168E-2</v>
      </c>
      <c r="Y15" s="2">
        <f>($J15-Data!$N15)*Data!L15</f>
        <v>2.7777777777777776E-2</v>
      </c>
      <c r="Z15" s="2">
        <f>($J15-Data!$N15)</f>
        <v>0.33333333333333331</v>
      </c>
      <c r="AA15" s="2">
        <f>($K15-Data!$O15)*Data!I15</f>
        <v>2.7777777777777755E-2</v>
      </c>
      <c r="AB15" s="2">
        <f>($K15-Data!$O15)*Data!J15</f>
        <v>0.19444444444444442</v>
      </c>
      <c r="AC15" s="2">
        <f>($K15-Data!$O15)*Data!K15</f>
        <v>2.2598870056497168E-2</v>
      </c>
      <c r="AD15" s="2">
        <f>($K15-Data!$O15)*Data!L15</f>
        <v>2.7777777777777776E-2</v>
      </c>
      <c r="AE15" s="2">
        <f>($K15-Data!$O15)</f>
        <v>0.33333333333333331</v>
      </c>
    </row>
    <row r="16" spans="1:31" x14ac:dyDescent="0.25">
      <c r="B16" s="2">
        <f>B$2*Data!$I16+B$3*Data!$J16+B$4*Data!$K16+B$5*Data!$L16+B$6</f>
        <v>0.19041902071563088</v>
      </c>
      <c r="C16" s="2">
        <f>C$2*Data!$I16+C$3*Data!$J16+C$4*Data!$K16+C$5*Data!$L16+C$6</f>
        <v>0.19041902071563088</v>
      </c>
      <c r="D16" s="2">
        <f>D$2*Data!$I16+D$3*Data!$J16+D$4*Data!$K16+D$5*Data!$L16+D$6</f>
        <v>0.19041902071563088</v>
      </c>
      <c r="E16" s="2">
        <f>EXP(B16)</f>
        <v>1.2097564044628979</v>
      </c>
      <c r="F16" s="2">
        <f>EXP(C16)</f>
        <v>1.2097564044628979</v>
      </c>
      <c r="G16" s="2">
        <f>EXP(D16)</f>
        <v>1.2097564044628979</v>
      </c>
      <c r="H16" s="2">
        <f>SUM(E16:G16)</f>
        <v>3.6292692133886937</v>
      </c>
      <c r="I16" s="2">
        <f>E16/$H16</f>
        <v>0.33333333333333331</v>
      </c>
      <c r="J16" s="2">
        <f>F16/$H16</f>
        <v>0.33333333333333331</v>
      </c>
      <c r="K16" s="2">
        <f>G16/$H16</f>
        <v>0.33333333333333331</v>
      </c>
      <c r="L16" s="2">
        <f>-Data!M16*LOG(I16)</f>
        <v>0.47712125471966244</v>
      </c>
      <c r="M16" s="2">
        <f>-Data!N16*LOG(J16)</f>
        <v>0</v>
      </c>
      <c r="N16" s="2">
        <f>-Data!O16*LOG(K16)</f>
        <v>0</v>
      </c>
      <c r="O16" s="2">
        <f>SUM(L16:N16)</f>
        <v>0.47712125471966244</v>
      </c>
      <c r="P16" s="2"/>
      <c r="Q16" s="2">
        <f>(I16-Data!M16)*Data!I16</f>
        <v>-0.12962962962962968</v>
      </c>
      <c r="R16" s="2">
        <f>($I16-Data!$M16)*Data!J16</f>
        <v>-0.3888888888888889</v>
      </c>
      <c r="S16" s="2">
        <f>($I16-Data!$M16)*Data!K16</f>
        <v>-5.6497175141242945E-2</v>
      </c>
      <c r="T16" s="2">
        <f>($I16-Data!$M16)*Data!L16</f>
        <v>-2.7777777777777783E-2</v>
      </c>
      <c r="U16" s="2">
        <f>($I16-Data!$M16)</f>
        <v>-0.66666666666666674</v>
      </c>
      <c r="V16" s="2">
        <f>($J16-Data!$N16)*Data!I16</f>
        <v>6.4814814814814825E-2</v>
      </c>
      <c r="W16" s="2">
        <f>($J16-Data!$N16)*Data!J16</f>
        <v>0.19444444444444442</v>
      </c>
      <c r="X16" s="2">
        <f>($J16-Data!$N16)*Data!K16</f>
        <v>2.8248587570621465E-2</v>
      </c>
      <c r="Y16" s="2">
        <f>($J16-Data!$N16)*Data!L16</f>
        <v>1.388888888888889E-2</v>
      </c>
      <c r="Z16" s="2">
        <f>($J16-Data!$N16)</f>
        <v>0.33333333333333331</v>
      </c>
      <c r="AA16" s="2">
        <f>($K16-Data!$O16)*Data!I16</f>
        <v>6.4814814814814825E-2</v>
      </c>
      <c r="AB16" s="2">
        <f>($K16-Data!$O16)*Data!J16</f>
        <v>0.19444444444444442</v>
      </c>
      <c r="AC16" s="2">
        <f>($K16-Data!$O16)*Data!K16</f>
        <v>2.8248587570621465E-2</v>
      </c>
      <c r="AD16" s="2">
        <f>($K16-Data!$O16)*Data!L16</f>
        <v>1.388888888888889E-2</v>
      </c>
      <c r="AE16" s="2">
        <f>($K16-Data!$O16)</f>
        <v>0.33333333333333331</v>
      </c>
    </row>
    <row r="17" spans="2:31" x14ac:dyDescent="0.25">
      <c r="B17" s="2">
        <f>B$2*Data!$I17+B$3*Data!$J17+B$4*Data!$K17+B$5*Data!$L17+B$6</f>
        <v>0.15122410546139362</v>
      </c>
      <c r="C17" s="2">
        <f>C$2*Data!$I17+C$3*Data!$J17+C$4*Data!$K17+C$5*Data!$L17+C$6</f>
        <v>0.15122410546139362</v>
      </c>
      <c r="D17" s="2">
        <f>D$2*Data!$I17+D$3*Data!$J17+D$4*Data!$K17+D$5*Data!$L17+D$6</f>
        <v>0.15122410546139362</v>
      </c>
      <c r="E17" s="2">
        <f>EXP(B17)</f>
        <v>1.1632573211914012</v>
      </c>
      <c r="F17" s="2">
        <f>EXP(C17)</f>
        <v>1.1632573211914012</v>
      </c>
      <c r="G17" s="2">
        <f>EXP(D17)</f>
        <v>1.1632573211914012</v>
      </c>
      <c r="H17" s="2">
        <f>SUM(E17:G17)</f>
        <v>3.4897719635742037</v>
      </c>
      <c r="I17" s="2">
        <f>E17/$H17</f>
        <v>0.33333333333333331</v>
      </c>
      <c r="J17" s="2">
        <f>F17/$H17</f>
        <v>0.33333333333333331</v>
      </c>
      <c r="K17" s="2">
        <f>G17/$H17</f>
        <v>0.33333333333333331</v>
      </c>
      <c r="L17" s="2">
        <f>-Data!M17*LOG(I17)</f>
        <v>0.47712125471966244</v>
      </c>
      <c r="M17" s="2">
        <f>-Data!N17*LOG(J17)</f>
        <v>0</v>
      </c>
      <c r="N17" s="2">
        <f>-Data!O17*LOG(K17)</f>
        <v>0</v>
      </c>
      <c r="O17" s="2">
        <f>SUM(L17:N17)</f>
        <v>0.47712125471966244</v>
      </c>
      <c r="P17" s="2"/>
      <c r="Q17" s="2">
        <f>(I17-Data!M17)*Data!I17</f>
        <v>-1.8518518518518618E-2</v>
      </c>
      <c r="R17" s="2">
        <f>($I17-Data!$M17)*Data!J17</f>
        <v>-0.24999999999999994</v>
      </c>
      <c r="S17" s="2">
        <f>($I17-Data!$M17)*Data!K17</f>
        <v>-4.5197740112994343E-2</v>
      </c>
      <c r="T17" s="2">
        <f>($I17-Data!$M17)*Data!L17</f>
        <v>-2.7777777777777783E-2</v>
      </c>
      <c r="U17" s="2">
        <f>($I17-Data!$M17)</f>
        <v>-0.66666666666666674</v>
      </c>
      <c r="V17" s="2">
        <f>($J17-Data!$N17)*Data!I17</f>
        <v>9.2592592592593073E-3</v>
      </c>
      <c r="W17" s="2">
        <f>($J17-Data!$N17)*Data!J17</f>
        <v>0.12499999999999996</v>
      </c>
      <c r="X17" s="2">
        <f>($J17-Data!$N17)*Data!K17</f>
        <v>2.2598870056497168E-2</v>
      </c>
      <c r="Y17" s="2">
        <f>($J17-Data!$N17)*Data!L17</f>
        <v>1.388888888888889E-2</v>
      </c>
      <c r="Z17" s="2">
        <f>($J17-Data!$N17)</f>
        <v>0.33333333333333331</v>
      </c>
      <c r="AA17" s="2">
        <f>($K17-Data!$O17)*Data!I17</f>
        <v>9.2592592592593073E-3</v>
      </c>
      <c r="AB17" s="2">
        <f>($K17-Data!$O17)*Data!J17</f>
        <v>0.12499999999999996</v>
      </c>
      <c r="AC17" s="2">
        <f>($K17-Data!$O17)*Data!K17</f>
        <v>2.2598870056497168E-2</v>
      </c>
      <c r="AD17" s="2">
        <f>($K17-Data!$O17)*Data!L17</f>
        <v>1.388888888888889E-2</v>
      </c>
      <c r="AE17" s="2">
        <f>($K17-Data!$O17)</f>
        <v>0.33333333333333331</v>
      </c>
    </row>
    <row r="18" spans="2:31" x14ac:dyDescent="0.25">
      <c r="B18" s="2">
        <f>B$2*Data!$I18+B$3*Data!$J18+B$4*Data!$K18+B$5*Data!$L18+B$6</f>
        <v>0.17097457627118645</v>
      </c>
      <c r="C18" s="2">
        <f>C$2*Data!$I18+C$3*Data!$J18+C$4*Data!$K18+C$5*Data!$L18+C$6</f>
        <v>0.17097457627118645</v>
      </c>
      <c r="D18" s="2">
        <f>D$2*Data!$I18+D$3*Data!$J18+D$4*Data!$K18+D$5*Data!$L18+D$6</f>
        <v>0.17097457627118645</v>
      </c>
      <c r="E18" s="2">
        <f>EXP(B18)</f>
        <v>1.1864605843861191</v>
      </c>
      <c r="F18" s="2">
        <f>EXP(C18)</f>
        <v>1.1864605843861191</v>
      </c>
      <c r="G18" s="2">
        <f>EXP(D18)</f>
        <v>1.1864605843861191</v>
      </c>
      <c r="H18" s="2">
        <f>SUM(E18:G18)</f>
        <v>3.5593817531583571</v>
      </c>
      <c r="I18" s="2">
        <f>E18/$H18</f>
        <v>0.33333333333333337</v>
      </c>
      <c r="J18" s="2">
        <f>F18/$H18</f>
        <v>0.33333333333333337</v>
      </c>
      <c r="K18" s="2">
        <f>G18/$H18</f>
        <v>0.33333333333333337</v>
      </c>
      <c r="L18" s="2">
        <f>-Data!M18*LOG(I18)</f>
        <v>0.47712125471966238</v>
      </c>
      <c r="M18" s="2">
        <f>-Data!N18*LOG(J18)</f>
        <v>0</v>
      </c>
      <c r="N18" s="2">
        <f>-Data!O18*LOG(K18)</f>
        <v>0</v>
      </c>
      <c r="O18" s="2">
        <f>SUM(L18:N18)</f>
        <v>0.47712125471966238</v>
      </c>
      <c r="P18" s="2"/>
      <c r="Q18" s="2">
        <f>(I18-Data!M18)*Data!I18</f>
        <v>-0.11111111111111119</v>
      </c>
      <c r="R18" s="2">
        <f>($I18-Data!$M18)*Data!J18</f>
        <v>-0.30555555555555552</v>
      </c>
      <c r="S18" s="2">
        <f>($I18-Data!$M18)*Data!K18</f>
        <v>-5.6497175141242931E-2</v>
      </c>
      <c r="T18" s="2">
        <f>($I18-Data!$M18)*Data!L18</f>
        <v>0</v>
      </c>
      <c r="U18" s="2">
        <f>($I18-Data!$M18)</f>
        <v>-0.66666666666666663</v>
      </c>
      <c r="V18" s="2">
        <f>($J18-Data!$N18)*Data!I18</f>
        <v>5.5555555555555608E-2</v>
      </c>
      <c r="W18" s="2">
        <f>($J18-Data!$N18)*Data!J18</f>
        <v>0.15277777777777779</v>
      </c>
      <c r="X18" s="2">
        <f>($J18-Data!$N18)*Data!K18</f>
        <v>2.8248587570621472E-2</v>
      </c>
      <c r="Y18" s="2">
        <f>($J18-Data!$N18)*Data!L18</f>
        <v>0</v>
      </c>
      <c r="Z18" s="2">
        <f>($J18-Data!$N18)</f>
        <v>0.33333333333333337</v>
      </c>
      <c r="AA18" s="2">
        <f>($K18-Data!$O18)*Data!I18</f>
        <v>5.5555555555555608E-2</v>
      </c>
      <c r="AB18" s="2">
        <f>($K18-Data!$O18)*Data!J18</f>
        <v>0.15277777777777779</v>
      </c>
      <c r="AC18" s="2">
        <f>($K18-Data!$O18)*Data!K18</f>
        <v>2.8248587570621472E-2</v>
      </c>
      <c r="AD18" s="2">
        <f>($K18-Data!$O18)*Data!L18</f>
        <v>0</v>
      </c>
      <c r="AE18" s="2">
        <f>($K18-Data!$O18)</f>
        <v>0.33333333333333337</v>
      </c>
    </row>
    <row r="19" spans="2:31" x14ac:dyDescent="0.25">
      <c r="B19" s="2">
        <f>B$2*Data!$I19+B$3*Data!$J19+B$4*Data!$K19+B$5*Data!$L19+B$6</f>
        <v>0.21403013182674202</v>
      </c>
      <c r="C19" s="2">
        <f>C$2*Data!$I19+C$3*Data!$J19+C$4*Data!$K19+C$5*Data!$L19+C$6</f>
        <v>0.21403013182674202</v>
      </c>
      <c r="D19" s="2">
        <f>D$2*Data!$I19+D$3*Data!$J19+D$4*Data!$K19+D$5*Data!$L19+D$6</f>
        <v>0.21403013182674202</v>
      </c>
      <c r="E19" s="2">
        <f>EXP(B19)</f>
        <v>1.2386599773189804</v>
      </c>
      <c r="F19" s="2">
        <f>EXP(C19)</f>
        <v>1.2386599773189804</v>
      </c>
      <c r="G19" s="2">
        <f>EXP(D19)</f>
        <v>1.2386599773189804</v>
      </c>
      <c r="H19" s="2">
        <f>SUM(E19:G19)</f>
        <v>3.7159799319569409</v>
      </c>
      <c r="I19" s="2">
        <f>E19/$H19</f>
        <v>0.33333333333333337</v>
      </c>
      <c r="J19" s="2">
        <f>F19/$H19</f>
        <v>0.33333333333333337</v>
      </c>
      <c r="K19" s="2">
        <f>G19/$H19</f>
        <v>0.33333333333333337</v>
      </c>
      <c r="L19" s="2">
        <f>-Data!M19*LOG(I19)</f>
        <v>0.47712125471966238</v>
      </c>
      <c r="M19" s="2">
        <f>-Data!N19*LOG(J19)</f>
        <v>0</v>
      </c>
      <c r="N19" s="2">
        <f>-Data!O19*LOG(K19)</f>
        <v>0</v>
      </c>
      <c r="O19" s="2">
        <f>SUM(L19:N19)</f>
        <v>0.47712125471966238</v>
      </c>
      <c r="P19" s="2"/>
      <c r="Q19" s="2">
        <f>(I19-Data!M19)*Data!I19</f>
        <v>-0.20370370370370375</v>
      </c>
      <c r="R19" s="2">
        <f>($I19-Data!$M19)*Data!J19</f>
        <v>-0.47222222222222215</v>
      </c>
      <c r="S19" s="2">
        <f>($I19-Data!$M19)*Data!K19</f>
        <v>-5.6497175141242931E-2</v>
      </c>
      <c r="T19" s="2">
        <f>($I19-Data!$M19)*Data!L19</f>
        <v>-2.777777777777778E-2</v>
      </c>
      <c r="U19" s="2">
        <f>($I19-Data!$M19)</f>
        <v>-0.66666666666666663</v>
      </c>
      <c r="V19" s="2">
        <f>($J19-Data!$N19)*Data!I19</f>
        <v>0.10185185185185189</v>
      </c>
      <c r="W19" s="2">
        <f>($J19-Data!$N19)*Data!J19</f>
        <v>0.2361111111111111</v>
      </c>
      <c r="X19" s="2">
        <f>($J19-Data!$N19)*Data!K19</f>
        <v>2.8248587570621472E-2</v>
      </c>
      <c r="Y19" s="2">
        <f>($J19-Data!$N19)*Data!L19</f>
        <v>1.3888888888888892E-2</v>
      </c>
      <c r="Z19" s="2">
        <f>($J19-Data!$N19)</f>
        <v>0.33333333333333337</v>
      </c>
      <c r="AA19" s="2">
        <f>($K19-Data!$O19)*Data!I19</f>
        <v>0.10185185185185189</v>
      </c>
      <c r="AB19" s="2">
        <f>($K19-Data!$O19)*Data!J19</f>
        <v>0.2361111111111111</v>
      </c>
      <c r="AC19" s="2">
        <f>($K19-Data!$O19)*Data!K19</f>
        <v>2.8248587570621472E-2</v>
      </c>
      <c r="AD19" s="2">
        <f>($K19-Data!$O19)*Data!L19</f>
        <v>1.3888888888888892E-2</v>
      </c>
      <c r="AE19" s="2">
        <f>($K19-Data!$O19)</f>
        <v>0.33333333333333337</v>
      </c>
    </row>
    <row r="20" spans="2:31" x14ac:dyDescent="0.25">
      <c r="B20" s="2">
        <f>B$2*Data!$I20+B$3*Data!$J20+B$4*Data!$K20+B$5*Data!$L20+B$6</f>
        <v>0.18655838041431261</v>
      </c>
      <c r="C20" s="2">
        <f>C$2*Data!$I20+C$3*Data!$J20+C$4*Data!$K20+C$5*Data!$L20+C$6</f>
        <v>0.18655838041431261</v>
      </c>
      <c r="D20" s="2">
        <f>D$2*Data!$I20+D$3*Data!$J20+D$4*Data!$K20+D$5*Data!$L20+D$6</f>
        <v>0.18655838041431261</v>
      </c>
      <c r="E20" s="2">
        <f>EXP(B20)</f>
        <v>1.2050949739759569</v>
      </c>
      <c r="F20" s="2">
        <f>EXP(C20)</f>
        <v>1.2050949739759569</v>
      </c>
      <c r="G20" s="2">
        <f>EXP(D20)</f>
        <v>1.2050949739759569</v>
      </c>
      <c r="H20" s="2">
        <f>SUM(E20:G20)</f>
        <v>3.6152849219278709</v>
      </c>
      <c r="I20" s="2">
        <f>E20/$H20</f>
        <v>0.33333333333333331</v>
      </c>
      <c r="J20" s="2">
        <f>F20/$H20</f>
        <v>0.33333333333333331</v>
      </c>
      <c r="K20" s="2">
        <f>G20/$H20</f>
        <v>0.33333333333333331</v>
      </c>
      <c r="L20" s="2">
        <f>-Data!M20*LOG(I20)</f>
        <v>0.47712125471966244</v>
      </c>
      <c r="M20" s="2">
        <f>-Data!N20*LOG(J20)</f>
        <v>0</v>
      </c>
      <c r="N20" s="2">
        <f>-Data!O20*LOG(K20)</f>
        <v>0</v>
      </c>
      <c r="O20" s="2">
        <f>SUM(L20:N20)</f>
        <v>0.47712125471966244</v>
      </c>
      <c r="P20" s="2"/>
      <c r="Q20" s="2">
        <f>(I20-Data!M20)*Data!I20</f>
        <v>-9.2592592592592587E-2</v>
      </c>
      <c r="R20" s="2">
        <f>($I20-Data!$M20)*Data!J20</f>
        <v>-0.3888888888888889</v>
      </c>
      <c r="S20" s="2">
        <f>($I20-Data!$M20)*Data!K20</f>
        <v>-6.7796610169491539E-2</v>
      </c>
      <c r="T20" s="2">
        <f>($I20-Data!$M20)*Data!L20</f>
        <v>-2.7777777777777783E-2</v>
      </c>
      <c r="U20" s="2">
        <f>($I20-Data!$M20)</f>
        <v>-0.66666666666666674</v>
      </c>
      <c r="V20" s="2">
        <f>($J20-Data!$N20)*Data!I20</f>
        <v>4.6296296296296287E-2</v>
      </c>
      <c r="W20" s="2">
        <f>($J20-Data!$N20)*Data!J20</f>
        <v>0.19444444444444442</v>
      </c>
      <c r="X20" s="2">
        <f>($J20-Data!$N20)*Data!K20</f>
        <v>3.3898305084745763E-2</v>
      </c>
      <c r="Y20" s="2">
        <f>($J20-Data!$N20)*Data!L20</f>
        <v>1.388888888888889E-2</v>
      </c>
      <c r="Z20" s="2">
        <f>($J20-Data!$N20)</f>
        <v>0.33333333333333331</v>
      </c>
      <c r="AA20" s="2">
        <f>($K20-Data!$O20)*Data!I20</f>
        <v>4.6296296296296287E-2</v>
      </c>
      <c r="AB20" s="2">
        <f>($K20-Data!$O20)*Data!J20</f>
        <v>0.19444444444444442</v>
      </c>
      <c r="AC20" s="2">
        <f>($K20-Data!$O20)*Data!K20</f>
        <v>3.3898305084745763E-2</v>
      </c>
      <c r="AD20" s="2">
        <f>($K20-Data!$O20)*Data!L20</f>
        <v>1.388888888888889E-2</v>
      </c>
      <c r="AE20" s="2">
        <f>($K20-Data!$O20)</f>
        <v>0.33333333333333331</v>
      </c>
    </row>
    <row r="21" spans="2:31" x14ac:dyDescent="0.25">
      <c r="B21" s="2">
        <f>B$2*Data!$I21+B$3*Data!$J21+B$4*Data!$K21+B$5*Data!$L21+B$6</f>
        <v>0.16233521657250471</v>
      </c>
      <c r="C21" s="2">
        <f>C$2*Data!$I21+C$3*Data!$J21+C$4*Data!$K21+C$5*Data!$L21+C$6</f>
        <v>0.16233521657250471</v>
      </c>
      <c r="D21" s="2">
        <f>D$2*Data!$I21+D$3*Data!$J21+D$4*Data!$K21+D$5*Data!$L21+D$6</f>
        <v>0.16233521657250471</v>
      </c>
      <c r="E21" s="2">
        <f>EXP(B21)</f>
        <v>1.1762544752340187</v>
      </c>
      <c r="F21" s="2">
        <f>EXP(C21)</f>
        <v>1.1762544752340187</v>
      </c>
      <c r="G21" s="2">
        <f>EXP(D21)</f>
        <v>1.1762544752340187</v>
      </c>
      <c r="H21" s="2">
        <f>SUM(E21:G21)</f>
        <v>3.5287634257020564</v>
      </c>
      <c r="I21" s="2">
        <f>E21/$H21</f>
        <v>0.33333333333333331</v>
      </c>
      <c r="J21" s="2">
        <f>F21/$H21</f>
        <v>0.33333333333333331</v>
      </c>
      <c r="K21" s="2">
        <f>G21/$H21</f>
        <v>0.33333333333333331</v>
      </c>
      <c r="L21" s="2">
        <f>-Data!M21*LOG(I21)</f>
        <v>0.47712125471966244</v>
      </c>
      <c r="M21" s="2">
        <f>-Data!N21*LOG(J21)</f>
        <v>0</v>
      </c>
      <c r="N21" s="2">
        <f>-Data!O21*LOG(K21)</f>
        <v>0</v>
      </c>
      <c r="O21" s="2">
        <f>SUM(L21:N21)</f>
        <v>0.47712125471966244</v>
      </c>
      <c r="P21" s="2"/>
      <c r="Q21" s="2">
        <f>(I21-Data!M21)*Data!I21</f>
        <v>-9.2592592592592587E-2</v>
      </c>
      <c r="R21" s="2">
        <f>($I21-Data!$M21)*Data!J21</f>
        <v>-0.27777777777777779</v>
      </c>
      <c r="S21" s="2">
        <f>($I21-Data!$M21)*Data!K21</f>
        <v>-4.5197740112994343E-2</v>
      </c>
      <c r="T21" s="2">
        <f>($I21-Data!$M21)*Data!L21</f>
        <v>0</v>
      </c>
      <c r="U21" s="2">
        <f>($I21-Data!$M21)</f>
        <v>-0.66666666666666674</v>
      </c>
      <c r="V21" s="2">
        <f>($J21-Data!$N21)*Data!I21</f>
        <v>4.6296296296296287E-2</v>
      </c>
      <c r="W21" s="2">
        <f>($J21-Data!$N21)*Data!J21</f>
        <v>0.13888888888888887</v>
      </c>
      <c r="X21" s="2">
        <f>($J21-Data!$N21)*Data!K21</f>
        <v>2.2598870056497168E-2</v>
      </c>
      <c r="Y21" s="2">
        <f>($J21-Data!$N21)*Data!L21</f>
        <v>0</v>
      </c>
      <c r="Z21" s="2">
        <f>($J21-Data!$N21)</f>
        <v>0.33333333333333331</v>
      </c>
      <c r="AA21" s="2">
        <f>($K21-Data!$O21)*Data!I21</f>
        <v>4.6296296296296287E-2</v>
      </c>
      <c r="AB21" s="2">
        <f>($K21-Data!$O21)*Data!J21</f>
        <v>0.13888888888888887</v>
      </c>
      <c r="AC21" s="2">
        <f>($K21-Data!$O21)*Data!K21</f>
        <v>2.2598870056497168E-2</v>
      </c>
      <c r="AD21" s="2">
        <f>($K21-Data!$O21)*Data!L21</f>
        <v>0</v>
      </c>
      <c r="AE21" s="2">
        <f>($K21-Data!$O21)</f>
        <v>0.33333333333333331</v>
      </c>
    </row>
    <row r="22" spans="2:31" x14ac:dyDescent="0.25">
      <c r="B22" s="2">
        <f>B$2*Data!$I22+B$3*Data!$J22+B$4*Data!$K22+B$5*Data!$L22+B$6</f>
        <v>0.14336158192090395</v>
      </c>
      <c r="C22" s="2">
        <f>C$2*Data!$I22+C$3*Data!$J22+C$4*Data!$K22+C$5*Data!$L22+C$6</f>
        <v>0.14336158192090395</v>
      </c>
      <c r="D22" s="2">
        <f>D$2*Data!$I22+D$3*Data!$J22+D$4*Data!$K22+D$5*Data!$L22+D$6</f>
        <v>0.14336158192090395</v>
      </c>
      <c r="E22" s="2">
        <f>EXP(B22)</f>
        <v>1.1541470449331661</v>
      </c>
      <c r="F22" s="2">
        <f>EXP(C22)</f>
        <v>1.1541470449331661</v>
      </c>
      <c r="G22" s="2">
        <f>EXP(D22)</f>
        <v>1.1541470449331661</v>
      </c>
      <c r="H22" s="2">
        <f>SUM(E22:G22)</f>
        <v>3.4624411347994983</v>
      </c>
      <c r="I22" s="2">
        <f>E22/$H22</f>
        <v>0.33333333333333331</v>
      </c>
      <c r="J22" s="2">
        <f>F22/$H22</f>
        <v>0.33333333333333331</v>
      </c>
      <c r="K22" s="2">
        <f>G22/$H22</f>
        <v>0.33333333333333331</v>
      </c>
      <c r="L22" s="2">
        <f>-Data!M22*LOG(I22)</f>
        <v>0.47712125471966244</v>
      </c>
      <c r="M22" s="2">
        <f>-Data!N22*LOG(J22)</f>
        <v>0</v>
      </c>
      <c r="N22" s="2">
        <f>-Data!O22*LOG(K22)</f>
        <v>0</v>
      </c>
      <c r="O22" s="2">
        <f>SUM(L22:N22)</f>
        <v>0.47712125471966244</v>
      </c>
      <c r="P22" s="2"/>
      <c r="Q22" s="2">
        <f>(I22-Data!M22)*Data!I22</f>
        <v>0</v>
      </c>
      <c r="R22" s="2">
        <f>($I22-Data!$M22)*Data!J22</f>
        <v>-0.27777777777777779</v>
      </c>
      <c r="S22" s="2">
        <f>($I22-Data!$M22)*Data!K22</f>
        <v>-1.1299435028248598E-2</v>
      </c>
      <c r="T22" s="2">
        <f>($I22-Data!$M22)*Data!L22</f>
        <v>0</v>
      </c>
      <c r="U22" s="2">
        <f>($I22-Data!$M22)</f>
        <v>-0.66666666666666674</v>
      </c>
      <c r="V22" s="2">
        <f>($J22-Data!$N22)*Data!I22</f>
        <v>0</v>
      </c>
      <c r="W22" s="2">
        <f>($J22-Data!$N22)*Data!J22</f>
        <v>0.13888888888888887</v>
      </c>
      <c r="X22" s="2">
        <f>($J22-Data!$N22)*Data!K22</f>
        <v>5.6497175141242981E-3</v>
      </c>
      <c r="Y22" s="2">
        <f>($J22-Data!$N22)*Data!L22</f>
        <v>0</v>
      </c>
      <c r="Z22" s="2">
        <f>($J22-Data!$N22)</f>
        <v>0.33333333333333331</v>
      </c>
      <c r="AA22" s="2">
        <f>($K22-Data!$O22)*Data!I22</f>
        <v>0</v>
      </c>
      <c r="AB22" s="2">
        <f>($K22-Data!$O22)*Data!J22</f>
        <v>0.13888888888888887</v>
      </c>
      <c r="AC22" s="2">
        <f>($K22-Data!$O22)*Data!K22</f>
        <v>5.6497175141242981E-3</v>
      </c>
      <c r="AD22" s="2">
        <f>($K22-Data!$O22)*Data!L22</f>
        <v>0</v>
      </c>
      <c r="AE22" s="2">
        <f>($K22-Data!$O22)</f>
        <v>0.33333333333333331</v>
      </c>
    </row>
    <row r="23" spans="2:31" x14ac:dyDescent="0.25">
      <c r="B23" s="2">
        <f>B$2*Data!$I23+B$3*Data!$J23+B$4*Data!$K23+B$5*Data!$L23+B$6</f>
        <v>0.23255649717514126</v>
      </c>
      <c r="C23" s="2">
        <f>C$2*Data!$I23+C$3*Data!$J23+C$4*Data!$K23+C$5*Data!$L23+C$6</f>
        <v>0.23255649717514126</v>
      </c>
      <c r="D23" s="2">
        <f>D$2*Data!$I23+D$3*Data!$J23+D$4*Data!$K23+D$5*Data!$L23+D$6</f>
        <v>0.23255649717514126</v>
      </c>
      <c r="E23" s="2">
        <f>EXP(B23)</f>
        <v>1.2618217337086868</v>
      </c>
      <c r="F23" s="2">
        <f>EXP(C23)</f>
        <v>1.2618217337086868</v>
      </c>
      <c r="G23" s="2">
        <f>EXP(D23)</f>
        <v>1.2618217337086868</v>
      </c>
      <c r="H23" s="2">
        <f>SUM(E23:G23)</f>
        <v>3.7854652011260601</v>
      </c>
      <c r="I23" s="2">
        <f>E23/$H23</f>
        <v>0.33333333333333337</v>
      </c>
      <c r="J23" s="2">
        <f>F23/$H23</f>
        <v>0.33333333333333337</v>
      </c>
      <c r="K23" s="2">
        <f>G23/$H23</f>
        <v>0.33333333333333337</v>
      </c>
      <c r="L23" s="2">
        <f>-Data!M23*LOG(I23)</f>
        <v>0.47712125471966238</v>
      </c>
      <c r="M23" s="2">
        <f>-Data!N23*LOG(J23)</f>
        <v>0</v>
      </c>
      <c r="N23" s="2">
        <f>-Data!O23*LOG(K23)</f>
        <v>0</v>
      </c>
      <c r="O23" s="2">
        <f>SUM(L23:N23)</f>
        <v>0.47712125471966238</v>
      </c>
      <c r="P23" s="2"/>
      <c r="Q23" s="2">
        <f>(I23-Data!M23)*Data!I23</f>
        <v>-0.27777777777777773</v>
      </c>
      <c r="R23" s="2">
        <f>($I23-Data!$M23)*Data!J23</f>
        <v>-0.55555555555555547</v>
      </c>
      <c r="S23" s="2">
        <f>($I23-Data!$M23)*Data!K23</f>
        <v>-2.2598870056497168E-2</v>
      </c>
      <c r="T23" s="2">
        <f>($I23-Data!$M23)*Data!L23</f>
        <v>-2.777777777777778E-2</v>
      </c>
      <c r="U23" s="2">
        <f>($I23-Data!$M23)</f>
        <v>-0.66666666666666663</v>
      </c>
      <c r="V23" s="2">
        <f>($J23-Data!$N23)*Data!I23</f>
        <v>0.1388888888888889</v>
      </c>
      <c r="W23" s="2">
        <f>($J23-Data!$N23)*Data!J23</f>
        <v>0.27777777777777779</v>
      </c>
      <c r="X23" s="2">
        <f>($J23-Data!$N23)*Data!K23</f>
        <v>1.1299435028248586E-2</v>
      </c>
      <c r="Y23" s="2">
        <f>($J23-Data!$N23)*Data!L23</f>
        <v>1.3888888888888892E-2</v>
      </c>
      <c r="Z23" s="2">
        <f>($J23-Data!$N23)</f>
        <v>0.33333333333333337</v>
      </c>
      <c r="AA23" s="2">
        <f>($K23-Data!$O23)*Data!I23</f>
        <v>0.1388888888888889</v>
      </c>
      <c r="AB23" s="2">
        <f>($K23-Data!$O23)*Data!J23</f>
        <v>0.27777777777777779</v>
      </c>
      <c r="AC23" s="2">
        <f>($K23-Data!$O23)*Data!K23</f>
        <v>1.1299435028248586E-2</v>
      </c>
      <c r="AD23" s="2">
        <f>($K23-Data!$O23)*Data!L23</f>
        <v>1.3888888888888892E-2</v>
      </c>
      <c r="AE23" s="2">
        <f>($K23-Data!$O23)</f>
        <v>0.33333333333333337</v>
      </c>
    </row>
    <row r="24" spans="2:31" x14ac:dyDescent="0.25">
      <c r="B24" s="2">
        <f>B$2*Data!$I24+B$3*Data!$J24+B$4*Data!$K24+B$5*Data!$L24+B$6</f>
        <v>0.25986346516007536</v>
      </c>
      <c r="C24" s="2">
        <f>C$2*Data!$I24+C$3*Data!$J24+C$4*Data!$K24+C$5*Data!$L24+C$6</f>
        <v>0.25986346516007536</v>
      </c>
      <c r="D24" s="2">
        <f>D$2*Data!$I24+D$3*Data!$J24+D$4*Data!$K24+D$5*Data!$L24+D$6</f>
        <v>0.25986346516007536</v>
      </c>
      <c r="E24" s="2">
        <f>EXP(B24)</f>
        <v>1.2967530226119766</v>
      </c>
      <c r="F24" s="2">
        <f>EXP(C24)</f>
        <v>1.2967530226119766</v>
      </c>
      <c r="G24" s="2">
        <f>EXP(D24)</f>
        <v>1.2967530226119766</v>
      </c>
      <c r="H24" s="2">
        <f>SUM(E24:G24)</f>
        <v>3.8902590678359297</v>
      </c>
      <c r="I24" s="2">
        <f>E24/$H24</f>
        <v>0.33333333333333331</v>
      </c>
      <c r="J24" s="2">
        <f>F24/$H24</f>
        <v>0.33333333333333331</v>
      </c>
      <c r="K24" s="2">
        <f>G24/$H24</f>
        <v>0.33333333333333331</v>
      </c>
      <c r="L24" s="2">
        <f>-Data!M24*LOG(I24)</f>
        <v>0.47712125471966244</v>
      </c>
      <c r="M24" s="2">
        <f>-Data!N24*LOG(J24)</f>
        <v>0</v>
      </c>
      <c r="N24" s="2">
        <f>-Data!O24*LOG(K24)</f>
        <v>0</v>
      </c>
      <c r="O24" s="2">
        <f>SUM(L24:N24)</f>
        <v>0.47712125471966244</v>
      </c>
      <c r="P24" s="2"/>
      <c r="Q24" s="2">
        <f>(I24-Data!M24)*Data!I24</f>
        <v>-0.25925925925925936</v>
      </c>
      <c r="R24" s="2">
        <f>($I24-Data!$M24)*Data!J24</f>
        <v>-0.66666666666666674</v>
      </c>
      <c r="S24" s="2">
        <f>($I24-Data!$M24)*Data!K24</f>
        <v>-5.6497175141242945E-2</v>
      </c>
      <c r="T24" s="2">
        <f>($I24-Data!$M24)*Data!L24</f>
        <v>-8.3333333333333356E-2</v>
      </c>
      <c r="U24" s="2">
        <f>($I24-Data!$M24)</f>
        <v>-0.66666666666666674</v>
      </c>
      <c r="V24" s="2">
        <f>($J24-Data!$N24)*Data!I24</f>
        <v>0.12962962962962965</v>
      </c>
      <c r="W24" s="2">
        <f>($J24-Data!$N24)*Data!J24</f>
        <v>0.33333333333333331</v>
      </c>
      <c r="X24" s="2">
        <f>($J24-Data!$N24)*Data!K24</f>
        <v>2.8248587570621465E-2</v>
      </c>
      <c r="Y24" s="2">
        <f>($J24-Data!$N24)*Data!L24</f>
        <v>4.1666666666666671E-2</v>
      </c>
      <c r="Z24" s="2">
        <f>($J24-Data!$N24)</f>
        <v>0.33333333333333331</v>
      </c>
      <c r="AA24" s="2">
        <f>($K24-Data!$O24)*Data!I24</f>
        <v>0.12962962962962965</v>
      </c>
      <c r="AB24" s="2">
        <f>($K24-Data!$O24)*Data!J24</f>
        <v>0.33333333333333331</v>
      </c>
      <c r="AC24" s="2">
        <f>($K24-Data!$O24)*Data!K24</f>
        <v>2.8248587570621465E-2</v>
      </c>
      <c r="AD24" s="2">
        <f>($K24-Data!$O24)*Data!L24</f>
        <v>4.1666666666666671E-2</v>
      </c>
      <c r="AE24" s="2">
        <f>($K24-Data!$O24)</f>
        <v>0.33333333333333331</v>
      </c>
    </row>
    <row r="25" spans="2:31" x14ac:dyDescent="0.25">
      <c r="B25" s="2">
        <f>B$2*Data!$I25+B$3*Data!$J25+B$4*Data!$K25+B$5*Data!$L25+B$6</f>
        <v>0.22730696798493411</v>
      </c>
      <c r="C25" s="2">
        <f>C$2*Data!$I25+C$3*Data!$J25+C$4*Data!$K25+C$5*Data!$L25+C$6</f>
        <v>0.22730696798493411</v>
      </c>
      <c r="D25" s="2">
        <f>D$2*Data!$I25+D$3*Data!$J25+D$4*Data!$K25+D$5*Data!$L25+D$6</f>
        <v>0.22730696798493411</v>
      </c>
      <c r="E25" s="2">
        <f>EXP(B25)</f>
        <v>1.2552151196632235</v>
      </c>
      <c r="F25" s="2">
        <f>EXP(C25)</f>
        <v>1.2552151196632235</v>
      </c>
      <c r="G25" s="2">
        <f>EXP(D25)</f>
        <v>1.2552151196632235</v>
      </c>
      <c r="H25" s="2">
        <f>SUM(E25:G25)</f>
        <v>3.7656453589896706</v>
      </c>
      <c r="I25" s="2">
        <f>E25/$H25</f>
        <v>0.33333333333333331</v>
      </c>
      <c r="J25" s="2">
        <f>F25/$H25</f>
        <v>0.33333333333333331</v>
      </c>
      <c r="K25" s="2">
        <f>G25/$H25</f>
        <v>0.33333333333333331</v>
      </c>
      <c r="L25" s="2">
        <f>-Data!M25*LOG(I25)</f>
        <v>0.47712125471966244</v>
      </c>
      <c r="M25" s="2">
        <f>-Data!N25*LOG(J25)</f>
        <v>0</v>
      </c>
      <c r="N25" s="2">
        <f>-Data!O25*LOG(K25)</f>
        <v>0</v>
      </c>
      <c r="O25" s="2">
        <f>SUM(L25:N25)</f>
        <v>0.47712125471966244</v>
      </c>
      <c r="P25" s="2"/>
      <c r="Q25" s="2">
        <f>(I25-Data!M25)*Data!I25</f>
        <v>-0.20370370370370378</v>
      </c>
      <c r="R25" s="2">
        <f>($I25-Data!$M25)*Data!J25</f>
        <v>-0.52777777777777779</v>
      </c>
      <c r="S25" s="2">
        <f>($I25-Data!$M25)*Data!K25</f>
        <v>-3.389830508474577E-2</v>
      </c>
      <c r="T25" s="2">
        <f>($I25-Data!$M25)*Data!L25</f>
        <v>-8.3333333333333356E-2</v>
      </c>
      <c r="U25" s="2">
        <f>($I25-Data!$M25)</f>
        <v>-0.66666666666666674</v>
      </c>
      <c r="V25" s="2">
        <f>($J25-Data!$N25)*Data!I25</f>
        <v>0.10185185185185187</v>
      </c>
      <c r="W25" s="2">
        <f>($J25-Data!$N25)*Data!J25</f>
        <v>0.26388888888888884</v>
      </c>
      <c r="X25" s="2">
        <f>($J25-Data!$N25)*Data!K25</f>
        <v>1.6949152542372881E-2</v>
      </c>
      <c r="Y25" s="2">
        <f>($J25-Data!$N25)*Data!L25</f>
        <v>4.1666666666666671E-2</v>
      </c>
      <c r="Z25" s="2">
        <f>($J25-Data!$N25)</f>
        <v>0.33333333333333331</v>
      </c>
      <c r="AA25" s="2">
        <f>($K25-Data!$O25)*Data!I25</f>
        <v>0.10185185185185187</v>
      </c>
      <c r="AB25" s="2">
        <f>($K25-Data!$O25)*Data!J25</f>
        <v>0.26388888888888884</v>
      </c>
      <c r="AC25" s="2">
        <f>($K25-Data!$O25)*Data!K25</f>
        <v>1.6949152542372881E-2</v>
      </c>
      <c r="AD25" s="2">
        <f>($K25-Data!$O25)*Data!L25</f>
        <v>4.1666666666666671E-2</v>
      </c>
      <c r="AE25" s="2">
        <f>($K25-Data!$O25)</f>
        <v>0.33333333333333331</v>
      </c>
    </row>
    <row r="26" spans="2:31" x14ac:dyDescent="0.25">
      <c r="B26" s="2">
        <f>B$2*Data!$I26+B$3*Data!$J26+B$4*Data!$K26+B$5*Data!$L26+B$6</f>
        <v>0.19983521657250469</v>
      </c>
      <c r="C26" s="2">
        <f>C$2*Data!$I26+C$3*Data!$J26+C$4*Data!$K26+C$5*Data!$L26+C$6</f>
        <v>0.19983521657250469</v>
      </c>
      <c r="D26" s="2">
        <f>D$2*Data!$I26+D$3*Data!$J26+D$4*Data!$K26+D$5*Data!$L26+D$6</f>
        <v>0.19983521657250469</v>
      </c>
      <c r="E26" s="2">
        <f>EXP(B26)</f>
        <v>1.2212015078091447</v>
      </c>
      <c r="F26" s="2">
        <f>EXP(C26)</f>
        <v>1.2212015078091447</v>
      </c>
      <c r="G26" s="2">
        <f>EXP(D26)</f>
        <v>1.2212015078091447</v>
      </c>
      <c r="H26" s="2">
        <f>SUM(E26:G26)</f>
        <v>3.6636045234274341</v>
      </c>
      <c r="I26" s="2">
        <f>E26/$H26</f>
        <v>0.33333333333333331</v>
      </c>
      <c r="J26" s="2">
        <f>F26/$H26</f>
        <v>0.33333333333333331</v>
      </c>
      <c r="K26" s="2">
        <f>G26/$H26</f>
        <v>0.33333333333333331</v>
      </c>
      <c r="L26" s="2">
        <f>-Data!M26*LOG(I26)</f>
        <v>0.47712125471966244</v>
      </c>
      <c r="M26" s="2">
        <f>-Data!N26*LOG(J26)</f>
        <v>0</v>
      </c>
      <c r="N26" s="2">
        <f>-Data!O26*LOG(K26)</f>
        <v>0</v>
      </c>
      <c r="O26" s="2">
        <f>SUM(L26:N26)</f>
        <v>0.47712125471966244</v>
      </c>
      <c r="P26" s="2"/>
      <c r="Q26" s="2">
        <f>(I26-Data!M26)*Data!I26</f>
        <v>-0.14814814814814811</v>
      </c>
      <c r="R26" s="2">
        <f>($I26-Data!$M26)*Data!J26</f>
        <v>-0.41666666666666663</v>
      </c>
      <c r="S26" s="2">
        <f>($I26-Data!$M26)*Data!K26</f>
        <v>-4.5197740112994343E-2</v>
      </c>
      <c r="T26" s="2">
        <f>($I26-Data!$M26)*Data!L26</f>
        <v>-5.5555555555555559E-2</v>
      </c>
      <c r="U26" s="2">
        <f>($I26-Data!$M26)</f>
        <v>-0.66666666666666674</v>
      </c>
      <c r="V26" s="2">
        <f>($J26-Data!$N26)*Data!I26</f>
        <v>7.4074074074074042E-2</v>
      </c>
      <c r="W26" s="2">
        <f>($J26-Data!$N26)*Data!J26</f>
        <v>0.20833333333333329</v>
      </c>
      <c r="X26" s="2">
        <f>($J26-Data!$N26)*Data!K26</f>
        <v>2.2598870056497168E-2</v>
      </c>
      <c r="Y26" s="2">
        <f>($J26-Data!$N26)*Data!L26</f>
        <v>2.7777777777777776E-2</v>
      </c>
      <c r="Z26" s="2">
        <f>($J26-Data!$N26)</f>
        <v>0.33333333333333331</v>
      </c>
      <c r="AA26" s="2">
        <f>($K26-Data!$O26)*Data!I26</f>
        <v>7.4074074074074042E-2</v>
      </c>
      <c r="AB26" s="2">
        <f>($K26-Data!$O26)*Data!J26</f>
        <v>0.20833333333333329</v>
      </c>
      <c r="AC26" s="2">
        <f>($K26-Data!$O26)*Data!K26</f>
        <v>2.2598870056497168E-2</v>
      </c>
      <c r="AD26" s="2">
        <f>($K26-Data!$O26)*Data!L26</f>
        <v>2.7777777777777776E-2</v>
      </c>
      <c r="AE26" s="2">
        <f>($K26-Data!$O26)</f>
        <v>0.33333333333333331</v>
      </c>
    </row>
    <row r="27" spans="2:31" x14ac:dyDescent="0.25">
      <c r="B27" s="2">
        <f>B$2*Data!$I27+B$3*Data!$J27+B$4*Data!$K27+B$5*Data!$L27+B$6</f>
        <v>0.23408662900188323</v>
      </c>
      <c r="C27" s="2">
        <f>C$2*Data!$I27+C$3*Data!$J27+C$4*Data!$K27+C$5*Data!$L27+C$6</f>
        <v>0.23408662900188323</v>
      </c>
      <c r="D27" s="2">
        <f>D$2*Data!$I27+D$3*Data!$J27+D$4*Data!$K27+D$5*Data!$L27+D$6</f>
        <v>0.23408662900188323</v>
      </c>
      <c r="E27" s="2">
        <f>EXP(B27)</f>
        <v>1.2637539652105729</v>
      </c>
      <c r="F27" s="2">
        <f>EXP(C27)</f>
        <v>1.2637539652105729</v>
      </c>
      <c r="G27" s="2">
        <f>EXP(D27)</f>
        <v>1.2637539652105729</v>
      </c>
      <c r="H27" s="2">
        <f>SUM(E27:G27)</f>
        <v>3.7912618956317186</v>
      </c>
      <c r="I27" s="2">
        <f>E27/$H27</f>
        <v>0.33333333333333337</v>
      </c>
      <c r="J27" s="2">
        <f>F27/$H27</f>
        <v>0.33333333333333337</v>
      </c>
      <c r="K27" s="2">
        <f>G27/$H27</f>
        <v>0.33333333333333337</v>
      </c>
      <c r="L27" s="2">
        <f>-Data!M27*LOG(I27)</f>
        <v>0.47712125471966238</v>
      </c>
      <c r="M27" s="2">
        <f>-Data!N27*LOG(J27)</f>
        <v>0</v>
      </c>
      <c r="N27" s="2">
        <f>-Data!O27*LOG(K27)</f>
        <v>0</v>
      </c>
      <c r="O27" s="2">
        <f>SUM(L27:N27)</f>
        <v>0.47712125471966238</v>
      </c>
      <c r="P27" s="2"/>
      <c r="Q27" s="2">
        <f>(I27-Data!M27)*Data!I27</f>
        <v>-0.2592592592592593</v>
      </c>
      <c r="R27" s="2">
        <f>($I27-Data!$M27)*Data!J27</f>
        <v>-0.49999999999999983</v>
      </c>
      <c r="S27" s="2">
        <f>($I27-Data!$M27)*Data!K27</f>
        <v>-7.9096045197740106E-2</v>
      </c>
      <c r="T27" s="2">
        <f>($I27-Data!$M27)*Data!L27</f>
        <v>-5.5555555555555552E-2</v>
      </c>
      <c r="U27" s="2">
        <f>($I27-Data!$M27)</f>
        <v>-0.66666666666666663</v>
      </c>
      <c r="V27" s="2">
        <f>($J27-Data!$N27)*Data!I27</f>
        <v>0.12962962962962968</v>
      </c>
      <c r="W27" s="2">
        <f>($J27-Data!$N27)*Data!J27</f>
        <v>0.24999999999999994</v>
      </c>
      <c r="X27" s="2">
        <f>($J27-Data!$N27)*Data!K27</f>
        <v>3.954802259887006E-2</v>
      </c>
      <c r="Y27" s="2">
        <f>($J27-Data!$N27)*Data!L27</f>
        <v>2.777777777777778E-2</v>
      </c>
      <c r="Z27" s="2">
        <f>($J27-Data!$N27)</f>
        <v>0.33333333333333337</v>
      </c>
      <c r="AA27" s="2">
        <f>($K27-Data!$O27)*Data!I27</f>
        <v>0.12962962962962968</v>
      </c>
      <c r="AB27" s="2">
        <f>($K27-Data!$O27)*Data!J27</f>
        <v>0.24999999999999994</v>
      </c>
      <c r="AC27" s="2">
        <f>($K27-Data!$O27)*Data!K27</f>
        <v>3.954802259887006E-2</v>
      </c>
      <c r="AD27" s="2">
        <f>($K27-Data!$O27)*Data!L27</f>
        <v>2.777777777777778E-2</v>
      </c>
      <c r="AE27" s="2">
        <f>($K27-Data!$O27)</f>
        <v>0.33333333333333337</v>
      </c>
    </row>
    <row r="28" spans="2:31" x14ac:dyDescent="0.25">
      <c r="B28" s="2">
        <f>B$2*Data!$I28+B$3*Data!$J28+B$4*Data!$K28+B$5*Data!$L28+B$6</f>
        <v>0.21403013182674197</v>
      </c>
      <c r="C28" s="2">
        <f>C$2*Data!$I28+C$3*Data!$J28+C$4*Data!$K28+C$5*Data!$L28+C$6</f>
        <v>0.21403013182674197</v>
      </c>
      <c r="D28" s="2">
        <f>D$2*Data!$I28+D$3*Data!$J28+D$4*Data!$K28+D$5*Data!$L28+D$6</f>
        <v>0.21403013182674197</v>
      </c>
      <c r="E28" s="2">
        <f>EXP(B28)</f>
        <v>1.2386599773189804</v>
      </c>
      <c r="F28" s="2">
        <f>EXP(C28)</f>
        <v>1.2386599773189804</v>
      </c>
      <c r="G28" s="2">
        <f>EXP(D28)</f>
        <v>1.2386599773189804</v>
      </c>
      <c r="H28" s="2">
        <f>SUM(E28:G28)</f>
        <v>3.7159799319569409</v>
      </c>
      <c r="I28" s="2">
        <f>E28/$H28</f>
        <v>0.33333333333333337</v>
      </c>
      <c r="J28" s="2">
        <f>F28/$H28</f>
        <v>0.33333333333333337</v>
      </c>
      <c r="K28" s="2">
        <f>G28/$H28</f>
        <v>0.33333333333333337</v>
      </c>
      <c r="L28" s="2">
        <f>-Data!M28*LOG(I28)</f>
        <v>0.47712125471966238</v>
      </c>
      <c r="M28" s="2">
        <f>-Data!N28*LOG(J28)</f>
        <v>0</v>
      </c>
      <c r="N28" s="2">
        <f>-Data!O28*LOG(K28)</f>
        <v>0</v>
      </c>
      <c r="O28" s="2">
        <f>SUM(L28:N28)</f>
        <v>0.47712125471966238</v>
      </c>
      <c r="P28" s="2"/>
      <c r="Q28" s="2">
        <f>(I28-Data!M28)*Data!I28</f>
        <v>-0.14814814814814808</v>
      </c>
      <c r="R28" s="2">
        <f>($I28-Data!$M28)*Data!J28</f>
        <v>-0.49999999999999983</v>
      </c>
      <c r="S28" s="2">
        <f>($I28-Data!$M28)*Data!K28</f>
        <v>-5.6497175141242931E-2</v>
      </c>
      <c r="T28" s="2">
        <f>($I28-Data!$M28)*Data!L28</f>
        <v>-5.5555555555555552E-2</v>
      </c>
      <c r="U28" s="2">
        <f>($I28-Data!$M28)</f>
        <v>-0.66666666666666663</v>
      </c>
      <c r="V28" s="2">
        <f>($J28-Data!$N28)*Data!I28</f>
        <v>7.4074074074074056E-2</v>
      </c>
      <c r="W28" s="2">
        <f>($J28-Data!$N28)*Data!J28</f>
        <v>0.24999999999999994</v>
      </c>
      <c r="X28" s="2">
        <f>($J28-Data!$N28)*Data!K28</f>
        <v>2.8248587570621472E-2</v>
      </c>
      <c r="Y28" s="2">
        <f>($J28-Data!$N28)*Data!L28</f>
        <v>2.777777777777778E-2</v>
      </c>
      <c r="Z28" s="2">
        <f>($J28-Data!$N28)</f>
        <v>0.33333333333333337</v>
      </c>
      <c r="AA28" s="2">
        <f>($K28-Data!$O28)*Data!I28</f>
        <v>7.4074074074074056E-2</v>
      </c>
      <c r="AB28" s="2">
        <f>($K28-Data!$O28)*Data!J28</f>
        <v>0.24999999999999994</v>
      </c>
      <c r="AC28" s="2">
        <f>($K28-Data!$O28)*Data!K28</f>
        <v>2.8248587570621472E-2</v>
      </c>
      <c r="AD28" s="2">
        <f>($K28-Data!$O28)*Data!L28</f>
        <v>2.777777777777778E-2</v>
      </c>
      <c r="AE28" s="2">
        <f>($K28-Data!$O28)</f>
        <v>0.33333333333333337</v>
      </c>
    </row>
    <row r="29" spans="2:31" x14ac:dyDescent="0.25">
      <c r="B29" s="2">
        <f>B$2*Data!$I29+B$3*Data!$J29+B$4*Data!$K29+B$5*Data!$L29+B$6</f>
        <v>0.20491996233521659</v>
      </c>
      <c r="C29" s="2">
        <f>C$2*Data!$I29+C$3*Data!$J29+C$4*Data!$K29+C$5*Data!$L29+C$6</f>
        <v>0.20491996233521659</v>
      </c>
      <c r="D29" s="2">
        <f>D$2*Data!$I29+D$3*Data!$J29+D$4*Data!$K29+D$5*Data!$L29+D$6</f>
        <v>0.20491996233521659</v>
      </c>
      <c r="E29" s="2">
        <f>EXP(B29)</f>
        <v>1.2274268206551899</v>
      </c>
      <c r="F29" s="2">
        <f>EXP(C29)</f>
        <v>1.2274268206551899</v>
      </c>
      <c r="G29" s="2">
        <f>EXP(D29)</f>
        <v>1.2274268206551899</v>
      </c>
      <c r="H29" s="2">
        <f>SUM(E29:G29)</f>
        <v>3.6822804619655698</v>
      </c>
      <c r="I29" s="2">
        <f>E29/$H29</f>
        <v>0.33333333333333331</v>
      </c>
      <c r="J29" s="2">
        <f>F29/$H29</f>
        <v>0.33333333333333331</v>
      </c>
      <c r="K29" s="2">
        <f>G29/$H29</f>
        <v>0.33333333333333331</v>
      </c>
      <c r="L29" s="2">
        <f>-Data!M29*LOG(I29)</f>
        <v>0.47712125471966244</v>
      </c>
      <c r="M29" s="2">
        <f>-Data!N29*LOG(J29)</f>
        <v>0</v>
      </c>
      <c r="N29" s="2">
        <f>-Data!O29*LOG(K29)</f>
        <v>0</v>
      </c>
      <c r="O29" s="2">
        <f>SUM(L29:N29)</f>
        <v>0.47712125471966244</v>
      </c>
      <c r="P29" s="2"/>
      <c r="Q29" s="2">
        <f>(I29-Data!M29)*Data!I29</f>
        <v>-0.20370370370370378</v>
      </c>
      <c r="R29" s="2">
        <f>($I29-Data!$M29)*Data!J29</f>
        <v>-0.3888888888888889</v>
      </c>
      <c r="S29" s="2">
        <f>($I29-Data!$M29)*Data!K29</f>
        <v>-7.909604519774012E-2</v>
      </c>
      <c r="T29" s="2">
        <f>($I29-Data!$M29)*Data!L29</f>
        <v>-2.7777777777777783E-2</v>
      </c>
      <c r="U29" s="2">
        <f>($I29-Data!$M29)</f>
        <v>-0.66666666666666674</v>
      </c>
      <c r="V29" s="2">
        <f>($J29-Data!$N29)*Data!I29</f>
        <v>0.10185185185185187</v>
      </c>
      <c r="W29" s="2">
        <f>($J29-Data!$N29)*Data!J29</f>
        <v>0.19444444444444442</v>
      </c>
      <c r="X29" s="2">
        <f>($J29-Data!$N29)*Data!K29</f>
        <v>3.9548022598870053E-2</v>
      </c>
      <c r="Y29" s="2">
        <f>($J29-Data!$N29)*Data!L29</f>
        <v>1.388888888888889E-2</v>
      </c>
      <c r="Z29" s="2">
        <f>($J29-Data!$N29)</f>
        <v>0.33333333333333331</v>
      </c>
      <c r="AA29" s="2">
        <f>($K29-Data!$O29)*Data!I29</f>
        <v>0.10185185185185187</v>
      </c>
      <c r="AB29" s="2">
        <f>($K29-Data!$O29)*Data!J29</f>
        <v>0.19444444444444442</v>
      </c>
      <c r="AC29" s="2">
        <f>($K29-Data!$O29)*Data!K29</f>
        <v>3.9548022598870053E-2</v>
      </c>
      <c r="AD29" s="2">
        <f>($K29-Data!$O29)*Data!L29</f>
        <v>1.388888888888889E-2</v>
      </c>
      <c r="AE29" s="2">
        <f>($K29-Data!$O29)</f>
        <v>0.33333333333333331</v>
      </c>
    </row>
    <row r="30" spans="2:31" x14ac:dyDescent="0.25">
      <c r="B30" s="2">
        <f>B$2*Data!$I30+B$3*Data!$J30+B$4*Data!$K30+B$5*Data!$L30+B$6</f>
        <v>0.21403013182674199</v>
      </c>
      <c r="C30" s="2">
        <f>C$2*Data!$I30+C$3*Data!$J30+C$4*Data!$K30+C$5*Data!$L30+C$6</f>
        <v>0.21403013182674199</v>
      </c>
      <c r="D30" s="2">
        <f>D$2*Data!$I30+D$3*Data!$J30+D$4*Data!$K30+D$5*Data!$L30+D$6</f>
        <v>0.21403013182674199</v>
      </c>
      <c r="E30" s="2">
        <f>EXP(B30)</f>
        <v>1.2386599773189804</v>
      </c>
      <c r="F30" s="2">
        <f>EXP(C30)</f>
        <v>1.2386599773189804</v>
      </c>
      <c r="G30" s="2">
        <f>EXP(D30)</f>
        <v>1.2386599773189804</v>
      </c>
      <c r="H30" s="2">
        <f>SUM(E30:G30)</f>
        <v>3.7159799319569409</v>
      </c>
      <c r="I30" s="2">
        <f>E30/$H30</f>
        <v>0.33333333333333337</v>
      </c>
      <c r="J30" s="2">
        <f>F30/$H30</f>
        <v>0.33333333333333337</v>
      </c>
      <c r="K30" s="2">
        <f>G30/$H30</f>
        <v>0.33333333333333337</v>
      </c>
      <c r="L30" s="2">
        <f>-Data!M30*LOG(I30)</f>
        <v>0.47712125471966238</v>
      </c>
      <c r="M30" s="2">
        <f>-Data!N30*LOG(J30)</f>
        <v>0</v>
      </c>
      <c r="N30" s="2">
        <f>-Data!O30*LOG(K30)</f>
        <v>0</v>
      </c>
      <c r="O30" s="2">
        <f>SUM(L30:N30)</f>
        <v>0.47712125471966238</v>
      </c>
      <c r="P30" s="2"/>
      <c r="Q30" s="2">
        <f>(I30-Data!M30)*Data!I30</f>
        <v>-0.14814814814814808</v>
      </c>
      <c r="R30" s="2">
        <f>($I30-Data!$M30)*Data!J30</f>
        <v>-0.47222222222222215</v>
      </c>
      <c r="S30" s="2">
        <f>($I30-Data!$M30)*Data!K30</f>
        <v>-5.6497175141242931E-2</v>
      </c>
      <c r="T30" s="2">
        <f>($I30-Data!$M30)*Data!L30</f>
        <v>-8.3333333333333343E-2</v>
      </c>
      <c r="U30" s="2">
        <f>($I30-Data!$M30)</f>
        <v>-0.66666666666666663</v>
      </c>
      <c r="V30" s="2">
        <f>($J30-Data!$N30)*Data!I30</f>
        <v>7.4074074074074056E-2</v>
      </c>
      <c r="W30" s="2">
        <f>($J30-Data!$N30)*Data!J30</f>
        <v>0.2361111111111111</v>
      </c>
      <c r="X30" s="2">
        <f>($J30-Data!$N30)*Data!K30</f>
        <v>2.8248587570621472E-2</v>
      </c>
      <c r="Y30" s="2">
        <f>($J30-Data!$N30)*Data!L30</f>
        <v>4.1666666666666678E-2</v>
      </c>
      <c r="Z30" s="2">
        <f>($J30-Data!$N30)</f>
        <v>0.33333333333333337</v>
      </c>
      <c r="AA30" s="2">
        <f>($K30-Data!$O30)*Data!I30</f>
        <v>7.4074074074074056E-2</v>
      </c>
      <c r="AB30" s="2">
        <f>($K30-Data!$O30)*Data!J30</f>
        <v>0.2361111111111111</v>
      </c>
      <c r="AC30" s="2">
        <f>($K30-Data!$O30)*Data!K30</f>
        <v>2.8248587570621472E-2</v>
      </c>
      <c r="AD30" s="2">
        <f>($K30-Data!$O30)*Data!L30</f>
        <v>4.1666666666666678E-2</v>
      </c>
      <c r="AE30" s="2">
        <f>($K30-Data!$O30)</f>
        <v>0.33333333333333337</v>
      </c>
    </row>
    <row r="31" spans="2:31" x14ac:dyDescent="0.25">
      <c r="B31" s="2">
        <f>B$2*Data!$I31+B$3*Data!$J31+B$4*Data!$K31+B$5*Data!$L31+B$6</f>
        <v>0.17916666666666667</v>
      </c>
      <c r="C31" s="2">
        <f>C$2*Data!$I31+C$3*Data!$J31+C$4*Data!$K31+C$5*Data!$L31+C$6</f>
        <v>0.17916666666666667</v>
      </c>
      <c r="D31" s="2">
        <f>D$2*Data!$I31+D$3*Data!$J31+D$4*Data!$K31+D$5*Data!$L31+D$6</f>
        <v>0.17916666666666667</v>
      </c>
      <c r="E31" s="2">
        <f>EXP(B31)</f>
        <v>1.1962200975709003</v>
      </c>
      <c r="F31" s="2">
        <f>EXP(C31)</f>
        <v>1.1962200975709003</v>
      </c>
      <c r="G31" s="2">
        <f>EXP(D31)</f>
        <v>1.1962200975709003</v>
      </c>
      <c r="H31" s="2">
        <f>SUM(E31:G31)</f>
        <v>3.5886602927127011</v>
      </c>
      <c r="I31" s="2">
        <f>E31/$H31</f>
        <v>0.33333333333333331</v>
      </c>
      <c r="J31" s="2">
        <f>F31/$H31</f>
        <v>0.33333333333333331</v>
      </c>
      <c r="K31" s="2">
        <f>G31/$H31</f>
        <v>0.33333333333333331</v>
      </c>
      <c r="L31" s="2">
        <f>-Data!M31*LOG(I31)</f>
        <v>0.47712125471966244</v>
      </c>
      <c r="M31" s="2">
        <f>-Data!N31*LOG(J31)</f>
        <v>0</v>
      </c>
      <c r="N31" s="2">
        <f>-Data!O31*LOG(K31)</f>
        <v>0</v>
      </c>
      <c r="O31" s="2">
        <f>SUM(L31:N31)</f>
        <v>0.47712125471966244</v>
      </c>
      <c r="P31" s="2"/>
      <c r="Q31" s="2">
        <f>(I31-Data!M31)*Data!I31</f>
        <v>-5.5555555555555525E-2</v>
      </c>
      <c r="R31" s="2">
        <f>($I31-Data!$M31)*Data!J31</f>
        <v>-0.44444444444444448</v>
      </c>
      <c r="S31" s="2">
        <f>($I31-Data!$M31)*Data!K31</f>
        <v>0</v>
      </c>
      <c r="T31" s="2">
        <f>($I31-Data!$M31)*Data!L31</f>
        <v>-2.7777777777777783E-2</v>
      </c>
      <c r="U31" s="2">
        <f>($I31-Data!$M31)</f>
        <v>-0.66666666666666674</v>
      </c>
      <c r="V31" s="2">
        <f>($J31-Data!$N31)*Data!I31</f>
        <v>2.7777777777777755E-2</v>
      </c>
      <c r="W31" s="2">
        <f>($J31-Data!$N31)*Data!J31</f>
        <v>0.22222222222222221</v>
      </c>
      <c r="X31" s="2">
        <f>($J31-Data!$N31)*Data!K31</f>
        <v>0</v>
      </c>
      <c r="Y31" s="2">
        <f>($J31-Data!$N31)*Data!L31</f>
        <v>1.388888888888889E-2</v>
      </c>
      <c r="Z31" s="2">
        <f>($J31-Data!$N31)</f>
        <v>0.33333333333333331</v>
      </c>
      <c r="AA31" s="2">
        <f>($K31-Data!$O31)*Data!I31</f>
        <v>2.7777777777777755E-2</v>
      </c>
      <c r="AB31" s="2">
        <f>($K31-Data!$O31)*Data!J31</f>
        <v>0.22222222222222221</v>
      </c>
      <c r="AC31" s="2">
        <f>($K31-Data!$O31)*Data!K31</f>
        <v>0</v>
      </c>
      <c r="AD31" s="2">
        <f>($K31-Data!$O31)*Data!L31</f>
        <v>1.388888888888889E-2</v>
      </c>
      <c r="AE31" s="2">
        <f>($K31-Data!$O31)</f>
        <v>0.33333333333333331</v>
      </c>
    </row>
    <row r="32" spans="2:31" x14ac:dyDescent="0.25">
      <c r="B32" s="2">
        <f>B$2*Data!$I32+B$3*Data!$J32+B$4*Data!$K32+B$5*Data!$L32+B$6</f>
        <v>0.20491996233521656</v>
      </c>
      <c r="C32" s="2">
        <f>C$2*Data!$I32+C$3*Data!$J32+C$4*Data!$K32+C$5*Data!$L32+C$6</f>
        <v>0.20491996233521656</v>
      </c>
      <c r="D32" s="2">
        <f>D$2*Data!$I32+D$3*Data!$J32+D$4*Data!$K32+D$5*Data!$L32+D$6</f>
        <v>0.20491996233521656</v>
      </c>
      <c r="E32" s="2">
        <f>EXP(B32)</f>
        <v>1.2274268206551899</v>
      </c>
      <c r="F32" s="2">
        <f>EXP(C32)</f>
        <v>1.2274268206551899</v>
      </c>
      <c r="G32" s="2">
        <f>EXP(D32)</f>
        <v>1.2274268206551899</v>
      </c>
      <c r="H32" s="2">
        <f>SUM(E32:G32)</f>
        <v>3.6822804619655698</v>
      </c>
      <c r="I32" s="2">
        <f>E32/$H32</f>
        <v>0.33333333333333331</v>
      </c>
      <c r="J32" s="2">
        <f>F32/$H32</f>
        <v>0.33333333333333331</v>
      </c>
      <c r="K32" s="2">
        <f>G32/$H32</f>
        <v>0.33333333333333331</v>
      </c>
      <c r="L32" s="2">
        <f>-Data!M32*LOG(I32)</f>
        <v>0.47712125471966244</v>
      </c>
      <c r="M32" s="2">
        <f>-Data!N32*LOG(J32)</f>
        <v>0</v>
      </c>
      <c r="N32" s="2">
        <f>-Data!O32*LOG(K32)</f>
        <v>0</v>
      </c>
      <c r="O32" s="2">
        <f>SUM(L32:N32)</f>
        <v>0.47712125471966244</v>
      </c>
      <c r="P32" s="2"/>
      <c r="Q32" s="2">
        <f>(I32-Data!M32)*Data!I32</f>
        <v>-0.14814814814814811</v>
      </c>
      <c r="R32" s="2">
        <f>($I32-Data!$M32)*Data!J32</f>
        <v>-0.36111111111111105</v>
      </c>
      <c r="S32" s="2">
        <f>($I32-Data!$M32)*Data!K32</f>
        <v>-7.909604519774012E-2</v>
      </c>
      <c r="T32" s="2">
        <f>($I32-Data!$M32)*Data!L32</f>
        <v>-0.11111111111111113</v>
      </c>
      <c r="U32" s="2">
        <f>($I32-Data!$M32)</f>
        <v>-0.66666666666666674</v>
      </c>
      <c r="V32" s="2">
        <f>($J32-Data!$N32)*Data!I32</f>
        <v>7.4074074074074042E-2</v>
      </c>
      <c r="W32" s="2">
        <f>($J32-Data!$N32)*Data!J32</f>
        <v>0.1805555555555555</v>
      </c>
      <c r="X32" s="2">
        <f>($J32-Data!$N32)*Data!K32</f>
        <v>3.9548022598870053E-2</v>
      </c>
      <c r="Y32" s="2">
        <f>($J32-Data!$N32)*Data!L32</f>
        <v>5.5555555555555559E-2</v>
      </c>
      <c r="Z32" s="2">
        <f>($J32-Data!$N32)</f>
        <v>0.33333333333333331</v>
      </c>
      <c r="AA32" s="2">
        <f>($K32-Data!$O32)*Data!I32</f>
        <v>7.4074074074074042E-2</v>
      </c>
      <c r="AB32" s="2">
        <f>($K32-Data!$O32)*Data!J32</f>
        <v>0.1805555555555555</v>
      </c>
      <c r="AC32" s="2">
        <f>($K32-Data!$O32)*Data!K32</f>
        <v>3.9548022598870053E-2</v>
      </c>
      <c r="AD32" s="2">
        <f>($K32-Data!$O32)*Data!L32</f>
        <v>5.5555555555555559E-2</v>
      </c>
      <c r="AE32" s="2">
        <f>($K32-Data!$O32)</f>
        <v>0.33333333333333331</v>
      </c>
    </row>
    <row r="33" spans="2:31" x14ac:dyDescent="0.25">
      <c r="B33" s="2">
        <f>B$2*Data!$I33+B$3*Data!$J33+B$4*Data!$K33+B$5*Data!$L33+B$6</f>
        <v>0.19164312617702448</v>
      </c>
      <c r="C33" s="2">
        <f>C$2*Data!$I33+C$3*Data!$J33+C$4*Data!$K33+C$5*Data!$L33+C$6</f>
        <v>0.19164312617702448</v>
      </c>
      <c r="D33" s="2">
        <f>D$2*Data!$I33+D$3*Data!$J33+D$4*Data!$K33+D$5*Data!$L33+D$6</f>
        <v>0.19164312617702448</v>
      </c>
      <c r="E33" s="2">
        <f>EXP(B33)</f>
        <v>1.2112381806246744</v>
      </c>
      <c r="F33" s="2">
        <f>EXP(C33)</f>
        <v>1.2112381806246744</v>
      </c>
      <c r="G33" s="2">
        <f>EXP(D33)</f>
        <v>1.2112381806246744</v>
      </c>
      <c r="H33" s="2">
        <f>SUM(E33:G33)</f>
        <v>3.6337145418740233</v>
      </c>
      <c r="I33" s="2">
        <f>E33/$H33</f>
        <v>0.33333333333333331</v>
      </c>
      <c r="J33" s="2">
        <f>F33/$H33</f>
        <v>0.33333333333333331</v>
      </c>
      <c r="K33" s="2">
        <f>G33/$H33</f>
        <v>0.33333333333333331</v>
      </c>
      <c r="L33" s="2">
        <f>-Data!M33*LOG(I33)</f>
        <v>0.47712125471966244</v>
      </c>
      <c r="M33" s="2">
        <f>-Data!N33*LOG(J33)</f>
        <v>0</v>
      </c>
      <c r="N33" s="2">
        <f>-Data!O33*LOG(K33)</f>
        <v>0</v>
      </c>
      <c r="O33" s="2">
        <f>SUM(L33:N33)</f>
        <v>0.47712125471966244</v>
      </c>
      <c r="P33" s="2"/>
      <c r="Q33" s="2">
        <f>(I33-Data!M33)*Data!I33</f>
        <v>-9.2592592592592587E-2</v>
      </c>
      <c r="R33" s="2">
        <f>($I33-Data!$M33)*Data!J33</f>
        <v>-0.3888888888888889</v>
      </c>
      <c r="S33" s="2">
        <f>($I33-Data!$M33)*Data!K33</f>
        <v>-0.10169491525423728</v>
      </c>
      <c r="T33" s="2">
        <f>($I33-Data!$M33)*Data!L33</f>
        <v>-2.7777777777777783E-2</v>
      </c>
      <c r="U33" s="2">
        <f>($I33-Data!$M33)</f>
        <v>-0.66666666666666674</v>
      </c>
      <c r="V33" s="2">
        <f>($J33-Data!$N33)*Data!I33</f>
        <v>4.6296296296296287E-2</v>
      </c>
      <c r="W33" s="2">
        <f>($J33-Data!$N33)*Data!J33</f>
        <v>0.19444444444444442</v>
      </c>
      <c r="X33" s="2">
        <f>($J33-Data!$N33)*Data!K33</f>
        <v>5.0847457627118633E-2</v>
      </c>
      <c r="Y33" s="2">
        <f>($J33-Data!$N33)*Data!L33</f>
        <v>1.388888888888889E-2</v>
      </c>
      <c r="Z33" s="2">
        <f>($J33-Data!$N33)</f>
        <v>0.33333333333333331</v>
      </c>
      <c r="AA33" s="2">
        <f>($K33-Data!$O33)*Data!I33</f>
        <v>4.6296296296296287E-2</v>
      </c>
      <c r="AB33" s="2">
        <f>($K33-Data!$O33)*Data!J33</f>
        <v>0.19444444444444442</v>
      </c>
      <c r="AC33" s="2">
        <f>($K33-Data!$O33)*Data!K33</f>
        <v>5.0847457627118633E-2</v>
      </c>
      <c r="AD33" s="2">
        <f>($K33-Data!$O33)*Data!L33</f>
        <v>1.388888888888889E-2</v>
      </c>
      <c r="AE33" s="2">
        <f>($K33-Data!$O33)</f>
        <v>0.33333333333333331</v>
      </c>
    </row>
    <row r="34" spans="2:31" x14ac:dyDescent="0.25">
      <c r="B34" s="2">
        <f>B$2*Data!$I34+B$3*Data!$J34+B$4*Data!$K34+B$5*Data!$L34+B$6</f>
        <v>0.17544726930320154</v>
      </c>
      <c r="C34" s="2">
        <f>C$2*Data!$I34+C$3*Data!$J34+C$4*Data!$K34+C$5*Data!$L34+C$6</f>
        <v>0.17544726930320154</v>
      </c>
      <c r="D34" s="2">
        <f>D$2*Data!$I34+D$3*Data!$J34+D$4*Data!$K34+D$5*Data!$L34+D$6</f>
        <v>0.17544726930320154</v>
      </c>
      <c r="E34" s="2">
        <f>EXP(B34)</f>
        <v>1.1917791436496719</v>
      </c>
      <c r="F34" s="2">
        <f>EXP(C34)</f>
        <v>1.1917791436496719</v>
      </c>
      <c r="G34" s="2">
        <f>EXP(D34)</f>
        <v>1.1917791436496719</v>
      </c>
      <c r="H34" s="2">
        <f>SUM(E34:G34)</f>
        <v>3.5753374309490153</v>
      </c>
      <c r="I34" s="2">
        <f>E34/$H34</f>
        <v>0.33333333333333337</v>
      </c>
      <c r="J34" s="2">
        <f>F34/$H34</f>
        <v>0.33333333333333337</v>
      </c>
      <c r="K34" s="2">
        <f>G34/$H34</f>
        <v>0.33333333333333337</v>
      </c>
      <c r="L34" s="2">
        <f>-Data!M34*LOG(I34)</f>
        <v>0.47712125471966238</v>
      </c>
      <c r="M34" s="2">
        <f>-Data!N34*LOG(J34)</f>
        <v>0</v>
      </c>
      <c r="N34" s="2">
        <f>-Data!O34*LOG(K34)</f>
        <v>0</v>
      </c>
      <c r="O34" s="2">
        <f>SUM(L34:N34)</f>
        <v>0.47712125471966238</v>
      </c>
      <c r="P34" s="2"/>
      <c r="Q34" s="2">
        <f>(I34-Data!M34)*Data!I34</f>
        <v>-0.12962962962962965</v>
      </c>
      <c r="R34" s="2">
        <f>($I34-Data!$M34)*Data!J34</f>
        <v>-0.27777777777777773</v>
      </c>
      <c r="S34" s="2">
        <f>($I34-Data!$M34)*Data!K34</f>
        <v>-6.7796610169491525E-2</v>
      </c>
      <c r="T34" s="2">
        <f>($I34-Data!$M34)*Data!L34</f>
        <v>-2.777777777777778E-2</v>
      </c>
      <c r="U34" s="2">
        <f>($I34-Data!$M34)</f>
        <v>-0.66666666666666663</v>
      </c>
      <c r="V34" s="2">
        <f>($J34-Data!$N34)*Data!I34</f>
        <v>6.4814814814814839E-2</v>
      </c>
      <c r="W34" s="2">
        <f>($J34-Data!$N34)*Data!J34</f>
        <v>0.1388888888888889</v>
      </c>
      <c r="X34" s="2">
        <f>($J34-Data!$N34)*Data!K34</f>
        <v>3.389830508474577E-2</v>
      </c>
      <c r="Y34" s="2">
        <f>($J34-Data!$N34)*Data!L34</f>
        <v>1.3888888888888892E-2</v>
      </c>
      <c r="Z34" s="2">
        <f>($J34-Data!$N34)</f>
        <v>0.33333333333333337</v>
      </c>
      <c r="AA34" s="2">
        <f>($K34-Data!$O34)*Data!I34</f>
        <v>6.4814814814814839E-2</v>
      </c>
      <c r="AB34" s="2">
        <f>($K34-Data!$O34)*Data!J34</f>
        <v>0.1388888888888889</v>
      </c>
      <c r="AC34" s="2">
        <f>($K34-Data!$O34)*Data!K34</f>
        <v>3.389830508474577E-2</v>
      </c>
      <c r="AD34" s="2">
        <f>($K34-Data!$O34)*Data!L34</f>
        <v>1.3888888888888892E-2</v>
      </c>
      <c r="AE34" s="2">
        <f>($K34-Data!$O34)</f>
        <v>0.33333333333333337</v>
      </c>
    </row>
    <row r="35" spans="2:31" x14ac:dyDescent="0.25">
      <c r="B35" s="2">
        <f>B$2*Data!$I35+B$3*Data!$J35+B$4*Data!$K35+B$5*Data!$L35+B$6</f>
        <v>0.20044726930320153</v>
      </c>
      <c r="C35" s="2">
        <f>C$2*Data!$I35+C$3*Data!$J35+C$4*Data!$K35+C$5*Data!$L35+C$6</f>
        <v>0.20044726930320153</v>
      </c>
      <c r="D35" s="2">
        <f>D$2*Data!$I35+D$3*Data!$J35+D$4*Data!$K35+D$5*Data!$L35+D$6</f>
        <v>0.20044726930320153</v>
      </c>
      <c r="E35" s="2">
        <f>EXP(B35)</f>
        <v>1.2219491763096637</v>
      </c>
      <c r="F35" s="2">
        <f>EXP(C35)</f>
        <v>1.2219491763096637</v>
      </c>
      <c r="G35" s="2">
        <f>EXP(D35)</f>
        <v>1.2219491763096637</v>
      </c>
      <c r="H35" s="2">
        <f>SUM(E35:G35)</f>
        <v>3.6658475289289911</v>
      </c>
      <c r="I35" s="2">
        <f>E35/$H35</f>
        <v>0.33333333333333331</v>
      </c>
      <c r="J35" s="2">
        <f>F35/$H35</f>
        <v>0.33333333333333331</v>
      </c>
      <c r="K35" s="2">
        <f>G35/$H35</f>
        <v>0.33333333333333331</v>
      </c>
      <c r="L35" s="2">
        <f>-Data!M35*LOG(I35)</f>
        <v>0.47712125471966244</v>
      </c>
      <c r="M35" s="2">
        <f>-Data!N35*LOG(J35)</f>
        <v>0</v>
      </c>
      <c r="N35" s="2">
        <f>-Data!O35*LOG(K35)</f>
        <v>0</v>
      </c>
      <c r="O35" s="2">
        <f>SUM(L35:N35)</f>
        <v>0.47712125471966244</v>
      </c>
      <c r="P35" s="2"/>
      <c r="Q35" s="2">
        <f>(I35-Data!M35)*Data!I35</f>
        <v>-0.12962962962962968</v>
      </c>
      <c r="R35" s="2">
        <f>($I35-Data!$M35)*Data!J35</f>
        <v>-0.3888888888888889</v>
      </c>
      <c r="S35" s="2">
        <f>($I35-Data!$M35)*Data!K35</f>
        <v>-6.7796610169491539E-2</v>
      </c>
      <c r="T35" s="2">
        <f>($I35-Data!$M35)*Data!L35</f>
        <v>-8.3333333333333356E-2</v>
      </c>
      <c r="U35" s="2">
        <f>($I35-Data!$M35)</f>
        <v>-0.66666666666666674</v>
      </c>
      <c r="V35" s="2">
        <f>($J35-Data!$N35)*Data!I35</f>
        <v>6.4814814814814825E-2</v>
      </c>
      <c r="W35" s="2">
        <f>($J35-Data!$N35)*Data!J35</f>
        <v>0.19444444444444442</v>
      </c>
      <c r="X35" s="2">
        <f>($J35-Data!$N35)*Data!K35</f>
        <v>3.3898305084745763E-2</v>
      </c>
      <c r="Y35" s="2">
        <f>($J35-Data!$N35)*Data!L35</f>
        <v>4.1666666666666671E-2</v>
      </c>
      <c r="Z35" s="2">
        <f>($J35-Data!$N35)</f>
        <v>0.33333333333333331</v>
      </c>
      <c r="AA35" s="2">
        <f>($K35-Data!$O35)*Data!I35</f>
        <v>6.4814814814814825E-2</v>
      </c>
      <c r="AB35" s="2">
        <f>($K35-Data!$O35)*Data!J35</f>
        <v>0.19444444444444442</v>
      </c>
      <c r="AC35" s="2">
        <f>($K35-Data!$O35)*Data!K35</f>
        <v>3.3898305084745763E-2</v>
      </c>
      <c r="AD35" s="2">
        <f>($K35-Data!$O35)*Data!L35</f>
        <v>4.1666666666666671E-2</v>
      </c>
      <c r="AE35" s="2">
        <f>($K35-Data!$O35)</f>
        <v>0.33333333333333331</v>
      </c>
    </row>
    <row r="36" spans="2:31" x14ac:dyDescent="0.25">
      <c r="B36" s="2">
        <f>B$2*Data!$I36+B$3*Data!$J36+B$4*Data!$K36+B$5*Data!$L36+B$6</f>
        <v>0.20014124293785313</v>
      </c>
      <c r="C36" s="2">
        <f>C$2*Data!$I36+C$3*Data!$J36+C$4*Data!$K36+C$5*Data!$L36+C$6</f>
        <v>0.20014124293785313</v>
      </c>
      <c r="D36" s="2">
        <f>D$2*Data!$I36+D$3*Data!$J36+D$4*Data!$K36+D$5*Data!$L36+D$6</f>
        <v>0.20014124293785313</v>
      </c>
      <c r="E36" s="2">
        <f>EXP(B36)</f>
        <v>1.2215752848578363</v>
      </c>
      <c r="F36" s="2">
        <f>EXP(C36)</f>
        <v>1.2215752848578363</v>
      </c>
      <c r="G36" s="2">
        <f>EXP(D36)</f>
        <v>1.2215752848578363</v>
      </c>
      <c r="H36" s="2">
        <f>SUM(E36:G36)</f>
        <v>3.6647258545735086</v>
      </c>
      <c r="I36" s="2">
        <f>E36/$H36</f>
        <v>0.33333333333333337</v>
      </c>
      <c r="J36" s="2">
        <f>F36/$H36</f>
        <v>0.33333333333333337</v>
      </c>
      <c r="K36" s="2">
        <f>G36/$H36</f>
        <v>0.33333333333333337</v>
      </c>
      <c r="L36" s="2">
        <f>-Data!M36*LOG(I36)</f>
        <v>0.47712125471966238</v>
      </c>
      <c r="M36" s="2">
        <f>-Data!N36*LOG(J36)</f>
        <v>0</v>
      </c>
      <c r="N36" s="2">
        <f>-Data!O36*LOG(K36)</f>
        <v>0</v>
      </c>
      <c r="O36" s="2">
        <f>SUM(L36:N36)</f>
        <v>0.47712125471966238</v>
      </c>
      <c r="P36" s="2"/>
      <c r="Q36" s="2">
        <f>(I36-Data!M36)*Data!I36</f>
        <v>-0.16666666666666669</v>
      </c>
      <c r="R36" s="2">
        <f>($I36-Data!$M36)*Data!J36</f>
        <v>-0.41666666666666657</v>
      </c>
      <c r="S36" s="2">
        <f>($I36-Data!$M36)*Data!K36</f>
        <v>-5.6497175141242931E-2</v>
      </c>
      <c r="T36" s="2">
        <f>($I36-Data!$M36)*Data!L36</f>
        <v>-2.777777777777778E-2</v>
      </c>
      <c r="U36" s="2">
        <f>($I36-Data!$M36)</f>
        <v>-0.66666666666666663</v>
      </c>
      <c r="V36" s="2">
        <f>($J36-Data!$N36)*Data!I36</f>
        <v>8.3333333333333356E-2</v>
      </c>
      <c r="W36" s="2">
        <f>($J36-Data!$N36)*Data!J36</f>
        <v>0.20833333333333331</v>
      </c>
      <c r="X36" s="2">
        <f>($J36-Data!$N36)*Data!K36</f>
        <v>2.8248587570621472E-2</v>
      </c>
      <c r="Y36" s="2">
        <f>($J36-Data!$N36)*Data!L36</f>
        <v>1.3888888888888892E-2</v>
      </c>
      <c r="Z36" s="2">
        <f>($J36-Data!$N36)</f>
        <v>0.33333333333333337</v>
      </c>
      <c r="AA36" s="2">
        <f>($K36-Data!$O36)*Data!I36</f>
        <v>8.3333333333333356E-2</v>
      </c>
      <c r="AB36" s="2">
        <f>($K36-Data!$O36)*Data!J36</f>
        <v>0.20833333333333331</v>
      </c>
      <c r="AC36" s="2">
        <f>($K36-Data!$O36)*Data!K36</f>
        <v>2.8248587570621472E-2</v>
      </c>
      <c r="AD36" s="2">
        <f>($K36-Data!$O36)*Data!L36</f>
        <v>1.3888888888888892E-2</v>
      </c>
      <c r="AE36" s="2">
        <f>($K36-Data!$O36)</f>
        <v>0.33333333333333337</v>
      </c>
    </row>
    <row r="37" spans="2:31" x14ac:dyDescent="0.25">
      <c r="B37" s="2">
        <f>B$2*Data!$I37+B$3*Data!$J37+B$4*Data!$K37+B$5*Data!$L37+B$6</f>
        <v>0.19427966101694916</v>
      </c>
      <c r="C37" s="2">
        <f>C$2*Data!$I37+C$3*Data!$J37+C$4*Data!$K37+C$5*Data!$L37+C$6</f>
        <v>0.19427966101694916</v>
      </c>
      <c r="D37" s="2">
        <f>D$2*Data!$I37+D$3*Data!$J37+D$4*Data!$K37+D$5*Data!$L37+D$6</f>
        <v>0.19427966101694916</v>
      </c>
      <c r="E37" s="2">
        <f>EXP(B37)</f>
        <v>1.2144358658392327</v>
      </c>
      <c r="F37" s="2">
        <f>EXP(C37)</f>
        <v>1.2144358658392327</v>
      </c>
      <c r="G37" s="2">
        <f>EXP(D37)</f>
        <v>1.2144358658392327</v>
      </c>
      <c r="H37" s="2">
        <f>SUM(E37:G37)</f>
        <v>3.6433075975176981</v>
      </c>
      <c r="I37" s="2">
        <f>E37/$H37</f>
        <v>0.33333333333333331</v>
      </c>
      <c r="J37" s="2">
        <f>F37/$H37</f>
        <v>0.33333333333333331</v>
      </c>
      <c r="K37" s="2">
        <f>G37/$H37</f>
        <v>0.33333333333333331</v>
      </c>
      <c r="L37" s="2">
        <f>-Data!M37*LOG(I37)</f>
        <v>0.47712125471966244</v>
      </c>
      <c r="M37" s="2">
        <f>-Data!N37*LOG(J37)</f>
        <v>0</v>
      </c>
      <c r="N37" s="2">
        <f>-Data!O37*LOG(K37)</f>
        <v>0</v>
      </c>
      <c r="O37" s="2">
        <f>SUM(L37:N37)</f>
        <v>0.47712125471966244</v>
      </c>
      <c r="P37" s="2"/>
      <c r="Q37" s="2">
        <f>(I37-Data!M37)*Data!I37</f>
        <v>-0.16666666666666671</v>
      </c>
      <c r="R37" s="2">
        <f>($I37-Data!$M37)*Data!J37</f>
        <v>-0.3888888888888889</v>
      </c>
      <c r="S37" s="2">
        <f>($I37-Data!$M37)*Data!K37</f>
        <v>-4.5197740112994343E-2</v>
      </c>
      <c r="T37" s="2">
        <f>($I37-Data!$M37)*Data!L37</f>
        <v>-2.7777777777777783E-2</v>
      </c>
      <c r="U37" s="2">
        <f>($I37-Data!$M37)</f>
        <v>-0.66666666666666674</v>
      </c>
      <c r="V37" s="2">
        <f>($J37-Data!$N37)*Data!I37</f>
        <v>8.3333333333333343E-2</v>
      </c>
      <c r="W37" s="2">
        <f>($J37-Data!$N37)*Data!J37</f>
        <v>0.19444444444444442</v>
      </c>
      <c r="X37" s="2">
        <f>($J37-Data!$N37)*Data!K37</f>
        <v>2.2598870056497168E-2</v>
      </c>
      <c r="Y37" s="2">
        <f>($J37-Data!$N37)*Data!L37</f>
        <v>1.388888888888889E-2</v>
      </c>
      <c r="Z37" s="2">
        <f>($J37-Data!$N37)</f>
        <v>0.33333333333333331</v>
      </c>
      <c r="AA37" s="2">
        <f>($K37-Data!$O37)*Data!I37</f>
        <v>8.3333333333333343E-2</v>
      </c>
      <c r="AB37" s="2">
        <f>($K37-Data!$O37)*Data!J37</f>
        <v>0.19444444444444442</v>
      </c>
      <c r="AC37" s="2">
        <f>($K37-Data!$O37)*Data!K37</f>
        <v>2.2598870056497168E-2</v>
      </c>
      <c r="AD37" s="2">
        <f>($K37-Data!$O37)*Data!L37</f>
        <v>1.388888888888889E-2</v>
      </c>
      <c r="AE37" s="2">
        <f>($K37-Data!$O37)</f>
        <v>0.33333333333333331</v>
      </c>
    </row>
    <row r="38" spans="2:31" x14ac:dyDescent="0.25">
      <c r="B38" s="2">
        <f>B$2*Data!$I38+B$3*Data!$J38+B$4*Data!$K38+B$5*Data!$L38+B$6</f>
        <v>0.17544726930320154</v>
      </c>
      <c r="C38" s="2">
        <f>C$2*Data!$I38+C$3*Data!$J38+C$4*Data!$K38+C$5*Data!$L38+C$6</f>
        <v>0.17544726930320154</v>
      </c>
      <c r="D38" s="2">
        <f>D$2*Data!$I38+D$3*Data!$J38+D$4*Data!$K38+D$5*Data!$L38+D$6</f>
        <v>0.17544726930320154</v>
      </c>
      <c r="E38" s="2">
        <f>EXP(B38)</f>
        <v>1.1917791436496719</v>
      </c>
      <c r="F38" s="2">
        <f>EXP(C38)</f>
        <v>1.1917791436496719</v>
      </c>
      <c r="G38" s="2">
        <f>EXP(D38)</f>
        <v>1.1917791436496719</v>
      </c>
      <c r="H38" s="2">
        <f>SUM(E38:G38)</f>
        <v>3.5753374309490153</v>
      </c>
      <c r="I38" s="2">
        <f>E38/$H38</f>
        <v>0.33333333333333337</v>
      </c>
      <c r="J38" s="2">
        <f>F38/$H38</f>
        <v>0.33333333333333337</v>
      </c>
      <c r="K38" s="2">
        <f>G38/$H38</f>
        <v>0.33333333333333337</v>
      </c>
      <c r="L38" s="2">
        <f>-Data!M38*LOG(I38)</f>
        <v>0.47712125471966238</v>
      </c>
      <c r="M38" s="2">
        <f>-Data!N38*LOG(J38)</f>
        <v>0</v>
      </c>
      <c r="N38" s="2">
        <f>-Data!O38*LOG(K38)</f>
        <v>0</v>
      </c>
      <c r="O38" s="2">
        <f>SUM(L38:N38)</f>
        <v>0.47712125471966238</v>
      </c>
      <c r="P38" s="2"/>
      <c r="Q38" s="2">
        <f>(I38-Data!M38)*Data!I38</f>
        <v>-7.4074074074074125E-2</v>
      </c>
      <c r="R38" s="2">
        <f>($I38-Data!$M38)*Data!J38</f>
        <v>-0.33333333333333331</v>
      </c>
      <c r="S38" s="2">
        <f>($I38-Data!$M38)*Data!K38</f>
        <v>-6.7796610169491525E-2</v>
      </c>
      <c r="T38" s="2">
        <f>($I38-Data!$M38)*Data!L38</f>
        <v>-2.777777777777778E-2</v>
      </c>
      <c r="U38" s="2">
        <f>($I38-Data!$M38)</f>
        <v>-0.66666666666666663</v>
      </c>
      <c r="V38" s="2">
        <f>($J38-Data!$N38)*Data!I38</f>
        <v>3.703703703703707E-2</v>
      </c>
      <c r="W38" s="2">
        <f>($J38-Data!$N38)*Data!J38</f>
        <v>0.16666666666666669</v>
      </c>
      <c r="X38" s="2">
        <f>($J38-Data!$N38)*Data!K38</f>
        <v>3.389830508474577E-2</v>
      </c>
      <c r="Y38" s="2">
        <f>($J38-Data!$N38)*Data!L38</f>
        <v>1.3888888888888892E-2</v>
      </c>
      <c r="Z38" s="2">
        <f>($J38-Data!$N38)</f>
        <v>0.33333333333333337</v>
      </c>
      <c r="AA38" s="2">
        <f>($K38-Data!$O38)*Data!I38</f>
        <v>3.703703703703707E-2</v>
      </c>
      <c r="AB38" s="2">
        <f>($K38-Data!$O38)*Data!J38</f>
        <v>0.16666666666666669</v>
      </c>
      <c r="AC38" s="2">
        <f>($K38-Data!$O38)*Data!K38</f>
        <v>3.389830508474577E-2</v>
      </c>
      <c r="AD38" s="2">
        <f>($K38-Data!$O38)*Data!L38</f>
        <v>1.3888888888888892E-2</v>
      </c>
      <c r="AE38" s="2">
        <f>($K38-Data!$O38)</f>
        <v>0.33333333333333337</v>
      </c>
    </row>
    <row r="39" spans="2:31" x14ac:dyDescent="0.25">
      <c r="B39" s="2">
        <f>B$2*Data!$I39+B$3*Data!$J39+B$4*Data!$K39+B$5*Data!$L39+B$6</f>
        <v>0.17405838041431262</v>
      </c>
      <c r="C39" s="2">
        <f>C$2*Data!$I39+C$3*Data!$J39+C$4*Data!$K39+C$5*Data!$L39+C$6</f>
        <v>0.17405838041431262</v>
      </c>
      <c r="D39" s="2">
        <f>D$2*Data!$I39+D$3*Data!$J39+D$4*Data!$K39+D$5*Data!$L39+D$6</f>
        <v>0.17405838041431262</v>
      </c>
      <c r="E39" s="2">
        <f>EXP(B39)</f>
        <v>1.1901250437854067</v>
      </c>
      <c r="F39" s="2">
        <f>EXP(C39)</f>
        <v>1.1901250437854067</v>
      </c>
      <c r="G39" s="2">
        <f>EXP(D39)</f>
        <v>1.1901250437854067</v>
      </c>
      <c r="H39" s="2">
        <f>SUM(E39:G39)</f>
        <v>3.5703751313562204</v>
      </c>
      <c r="I39" s="2">
        <f>E39/$H39</f>
        <v>0.33333333333333331</v>
      </c>
      <c r="J39" s="2">
        <f>F39/$H39</f>
        <v>0.33333333333333331</v>
      </c>
      <c r="K39" s="2">
        <f>G39/$H39</f>
        <v>0.33333333333333331</v>
      </c>
      <c r="L39" s="2">
        <f>-Data!M39*LOG(I39)</f>
        <v>0.47712125471966244</v>
      </c>
      <c r="M39" s="2">
        <f>-Data!N39*LOG(J39)</f>
        <v>0</v>
      </c>
      <c r="N39" s="2">
        <f>-Data!O39*LOG(K39)</f>
        <v>0</v>
      </c>
      <c r="O39" s="2">
        <f>SUM(L39:N39)</f>
        <v>0.47712125471966244</v>
      </c>
      <c r="P39" s="2"/>
      <c r="Q39" s="2">
        <f>(I39-Data!M39)*Data!I39</f>
        <v>-9.2592592592592587E-2</v>
      </c>
      <c r="R39" s="2">
        <f>($I39-Data!$M39)*Data!J39</f>
        <v>-0.30555555555555558</v>
      </c>
      <c r="S39" s="2">
        <f>($I39-Data!$M39)*Data!K39</f>
        <v>-6.7796610169491539E-2</v>
      </c>
      <c r="T39" s="2">
        <f>($I39-Data!$M39)*Data!L39</f>
        <v>-2.7777777777777783E-2</v>
      </c>
      <c r="U39" s="2">
        <f>($I39-Data!$M39)</f>
        <v>-0.66666666666666674</v>
      </c>
      <c r="V39" s="2">
        <f>($J39-Data!$N39)*Data!I39</f>
        <v>4.6296296296296287E-2</v>
      </c>
      <c r="W39" s="2">
        <f>($J39-Data!$N39)*Data!J39</f>
        <v>0.15277777777777776</v>
      </c>
      <c r="X39" s="2">
        <f>($J39-Data!$N39)*Data!K39</f>
        <v>3.3898305084745763E-2</v>
      </c>
      <c r="Y39" s="2">
        <f>($J39-Data!$N39)*Data!L39</f>
        <v>1.388888888888889E-2</v>
      </c>
      <c r="Z39" s="2">
        <f>($J39-Data!$N39)</f>
        <v>0.33333333333333331</v>
      </c>
      <c r="AA39" s="2">
        <f>($K39-Data!$O39)*Data!I39</f>
        <v>4.6296296296296287E-2</v>
      </c>
      <c r="AB39" s="2">
        <f>($K39-Data!$O39)*Data!J39</f>
        <v>0.15277777777777776</v>
      </c>
      <c r="AC39" s="2">
        <f>($K39-Data!$O39)*Data!K39</f>
        <v>3.3898305084745763E-2</v>
      </c>
      <c r="AD39" s="2">
        <f>($K39-Data!$O39)*Data!L39</f>
        <v>1.388888888888889E-2</v>
      </c>
      <c r="AE39" s="2">
        <f>($K39-Data!$O39)</f>
        <v>0.33333333333333331</v>
      </c>
    </row>
    <row r="40" spans="2:31" x14ac:dyDescent="0.25">
      <c r="B40" s="2">
        <f>B$2*Data!$I40+B$3*Data!$J40+B$4*Data!$K40+B$5*Data!$L40+B$6</f>
        <v>0.20986346516007534</v>
      </c>
      <c r="C40" s="2">
        <f>C$2*Data!$I40+C$3*Data!$J40+C$4*Data!$K40+C$5*Data!$L40+C$6</f>
        <v>0.20986346516007534</v>
      </c>
      <c r="D40" s="2">
        <f>D$2*Data!$I40+D$3*Data!$J40+D$4*Data!$K40+D$5*Data!$L40+D$6</f>
        <v>0.20986346516007534</v>
      </c>
      <c r="E40" s="2">
        <f>EXP(B40)</f>
        <v>1.2335096314187519</v>
      </c>
      <c r="F40" s="2">
        <f>EXP(C40)</f>
        <v>1.2335096314187519</v>
      </c>
      <c r="G40" s="2">
        <f>EXP(D40)</f>
        <v>1.2335096314187519</v>
      </c>
      <c r="H40" s="2">
        <f>SUM(E40:G40)</f>
        <v>3.700528894256256</v>
      </c>
      <c r="I40" s="2">
        <f>E40/$H40</f>
        <v>0.33333333333333331</v>
      </c>
      <c r="J40" s="2">
        <f>F40/$H40</f>
        <v>0.33333333333333331</v>
      </c>
      <c r="K40" s="2">
        <f>G40/$H40</f>
        <v>0.33333333333333331</v>
      </c>
      <c r="L40" s="2">
        <f>-Data!M40*LOG(I40)</f>
        <v>0.47712125471966244</v>
      </c>
      <c r="M40" s="2">
        <f>-Data!N40*LOG(J40)</f>
        <v>0</v>
      </c>
      <c r="N40" s="2">
        <f>-Data!O40*LOG(K40)</f>
        <v>0</v>
      </c>
      <c r="O40" s="2">
        <f>SUM(L40:N40)</f>
        <v>0.47712125471966244</v>
      </c>
      <c r="P40" s="2"/>
      <c r="Q40" s="2">
        <f>(I40-Data!M40)*Data!I40</f>
        <v>-0.20370370370370378</v>
      </c>
      <c r="R40" s="2">
        <f>($I40-Data!$M40)*Data!J40</f>
        <v>-0.3888888888888889</v>
      </c>
      <c r="S40" s="2">
        <f>($I40-Data!$M40)*Data!K40</f>
        <v>-5.6497175141242945E-2</v>
      </c>
      <c r="T40" s="2">
        <f>($I40-Data!$M40)*Data!L40</f>
        <v>-8.3333333333333356E-2</v>
      </c>
      <c r="U40" s="2">
        <f>($I40-Data!$M40)</f>
        <v>-0.66666666666666674</v>
      </c>
      <c r="V40" s="2">
        <f>($J40-Data!$N40)*Data!I40</f>
        <v>0.10185185185185187</v>
      </c>
      <c r="W40" s="2">
        <f>($J40-Data!$N40)*Data!J40</f>
        <v>0.19444444444444442</v>
      </c>
      <c r="X40" s="2">
        <f>($J40-Data!$N40)*Data!K40</f>
        <v>2.8248587570621465E-2</v>
      </c>
      <c r="Y40" s="2">
        <f>($J40-Data!$N40)*Data!L40</f>
        <v>4.1666666666666671E-2</v>
      </c>
      <c r="Z40" s="2">
        <f>($J40-Data!$N40)</f>
        <v>0.33333333333333331</v>
      </c>
      <c r="AA40" s="2">
        <f>($K40-Data!$O40)*Data!I40</f>
        <v>0.10185185185185187</v>
      </c>
      <c r="AB40" s="2">
        <f>($K40-Data!$O40)*Data!J40</f>
        <v>0.19444444444444442</v>
      </c>
      <c r="AC40" s="2">
        <f>($K40-Data!$O40)*Data!K40</f>
        <v>2.8248587570621465E-2</v>
      </c>
      <c r="AD40" s="2">
        <f>($K40-Data!$O40)*Data!L40</f>
        <v>4.1666666666666671E-2</v>
      </c>
      <c r="AE40" s="2">
        <f>($K40-Data!$O40)</f>
        <v>0.33333333333333331</v>
      </c>
    </row>
    <row r="41" spans="2:31" x14ac:dyDescent="0.25">
      <c r="B41" s="2">
        <f>B$2*Data!$I41+B$3*Data!$J41+B$4*Data!$K41+B$5*Data!$L41+B$6</f>
        <v>0.22097457627118644</v>
      </c>
      <c r="C41" s="2">
        <f>C$2*Data!$I41+C$3*Data!$J41+C$4*Data!$K41+C$5*Data!$L41+C$6</f>
        <v>0.22097457627118644</v>
      </c>
      <c r="D41" s="2">
        <f>D$2*Data!$I41+D$3*Data!$J41+D$4*Data!$K41+D$5*Data!$L41+D$6</f>
        <v>0.22097457627118644</v>
      </c>
      <c r="E41" s="2">
        <f>EXP(B41)</f>
        <v>1.2472917193545336</v>
      </c>
      <c r="F41" s="2">
        <f>EXP(C41)</f>
        <v>1.2472917193545336</v>
      </c>
      <c r="G41" s="2">
        <f>EXP(D41)</f>
        <v>1.2472917193545336</v>
      </c>
      <c r="H41" s="2">
        <f>SUM(E41:G41)</f>
        <v>3.7418751580636007</v>
      </c>
      <c r="I41" s="2">
        <f>E41/$H41</f>
        <v>0.33333333333333337</v>
      </c>
      <c r="J41" s="2">
        <f>F41/$H41</f>
        <v>0.33333333333333337</v>
      </c>
      <c r="K41" s="2">
        <f>G41/$H41</f>
        <v>0.33333333333333337</v>
      </c>
      <c r="L41" s="2">
        <f>-Data!M41*LOG(I41)</f>
        <v>0.47712125471966238</v>
      </c>
      <c r="M41" s="2">
        <f>-Data!N41*LOG(J41)</f>
        <v>0</v>
      </c>
      <c r="N41" s="2">
        <f>-Data!O41*LOG(K41)</f>
        <v>0</v>
      </c>
      <c r="O41" s="2">
        <f>SUM(L41:N41)</f>
        <v>0.47712125471966238</v>
      </c>
      <c r="P41" s="2"/>
      <c r="Q41" s="2">
        <f>(I41-Data!M41)*Data!I41</f>
        <v>-0.16666666666666669</v>
      </c>
      <c r="R41" s="2">
        <f>($I41-Data!$M41)*Data!J41</f>
        <v>-0.58333333333333315</v>
      </c>
      <c r="S41" s="2">
        <f>($I41-Data!$M41)*Data!K41</f>
        <v>-5.6497175141242931E-2</v>
      </c>
      <c r="T41" s="2">
        <f>($I41-Data!$M41)*Data!L41</f>
        <v>0</v>
      </c>
      <c r="U41" s="2">
        <f>($I41-Data!$M41)</f>
        <v>-0.66666666666666663</v>
      </c>
      <c r="V41" s="2">
        <f>($J41-Data!$N41)*Data!I41</f>
        <v>8.3333333333333356E-2</v>
      </c>
      <c r="W41" s="2">
        <f>($J41-Data!$N41)*Data!J41</f>
        <v>0.29166666666666663</v>
      </c>
      <c r="X41" s="2">
        <f>($J41-Data!$N41)*Data!K41</f>
        <v>2.8248587570621472E-2</v>
      </c>
      <c r="Y41" s="2">
        <f>($J41-Data!$N41)*Data!L41</f>
        <v>0</v>
      </c>
      <c r="Z41" s="2">
        <f>($J41-Data!$N41)</f>
        <v>0.33333333333333337</v>
      </c>
      <c r="AA41" s="2">
        <f>($K41-Data!$O41)*Data!I41</f>
        <v>8.3333333333333356E-2</v>
      </c>
      <c r="AB41" s="2">
        <f>($K41-Data!$O41)*Data!J41</f>
        <v>0.29166666666666663</v>
      </c>
      <c r="AC41" s="2">
        <f>($K41-Data!$O41)*Data!K41</f>
        <v>2.8248587570621472E-2</v>
      </c>
      <c r="AD41" s="2">
        <f>($K41-Data!$O41)*Data!L41</f>
        <v>0</v>
      </c>
      <c r="AE41" s="2">
        <f>($K41-Data!$O41)</f>
        <v>0.33333333333333337</v>
      </c>
    </row>
    <row r="42" spans="2:31" x14ac:dyDescent="0.25">
      <c r="B42" s="2">
        <f>B$2*Data!$I42+B$3*Data!$J42+B$4*Data!$K42+B$5*Data!$L42+B$6</f>
        <v>0.23594632768361584</v>
      </c>
      <c r="C42" s="2">
        <f>C$2*Data!$I42+C$3*Data!$J42+C$4*Data!$K42+C$5*Data!$L42+C$6</f>
        <v>0.23594632768361584</v>
      </c>
      <c r="D42" s="2">
        <f>D$2*Data!$I42+D$3*Data!$J42+D$4*Data!$K42+D$5*Data!$L42+D$6</f>
        <v>0.23594632768361584</v>
      </c>
      <c r="E42" s="2">
        <f>EXP(B42)</f>
        <v>1.2661063534824197</v>
      </c>
      <c r="F42" s="2">
        <f>EXP(C42)</f>
        <v>1.2661063534824197</v>
      </c>
      <c r="G42" s="2">
        <f>EXP(D42)</f>
        <v>1.2661063534824197</v>
      </c>
      <c r="H42" s="2">
        <f>SUM(E42:G42)</f>
        <v>3.798319060447259</v>
      </c>
      <c r="I42" s="2">
        <f>E42/$H42</f>
        <v>0.33333333333333337</v>
      </c>
      <c r="J42" s="2">
        <f>F42/$H42</f>
        <v>0.33333333333333337</v>
      </c>
      <c r="K42" s="2">
        <f>G42/$H42</f>
        <v>0.33333333333333337</v>
      </c>
      <c r="L42" s="2">
        <f>-Data!M42*LOG(I42)</f>
        <v>0.47712125471966238</v>
      </c>
      <c r="M42" s="2">
        <f>-Data!N42*LOG(J42)</f>
        <v>0</v>
      </c>
      <c r="N42" s="2">
        <f>-Data!O42*LOG(K42)</f>
        <v>0</v>
      </c>
      <c r="O42" s="2">
        <f>SUM(L42:N42)</f>
        <v>0.47712125471966238</v>
      </c>
      <c r="P42" s="2"/>
      <c r="Q42" s="2">
        <f>(I42-Data!M42)*Data!I42</f>
        <v>-0.22222222222222221</v>
      </c>
      <c r="R42" s="2">
        <f>($I42-Data!$M42)*Data!J42</f>
        <v>-0.61111111111111105</v>
      </c>
      <c r="S42" s="2">
        <f>($I42-Data!$M42)*Data!K42</f>
        <v>-4.5197740112994336E-2</v>
      </c>
      <c r="T42" s="2">
        <f>($I42-Data!$M42)*Data!L42</f>
        <v>-2.777777777777778E-2</v>
      </c>
      <c r="U42" s="2">
        <f>($I42-Data!$M42)</f>
        <v>-0.66666666666666663</v>
      </c>
      <c r="V42" s="2">
        <f>($J42-Data!$N42)*Data!I42</f>
        <v>0.11111111111111112</v>
      </c>
      <c r="W42" s="2">
        <f>($J42-Data!$N42)*Data!J42</f>
        <v>0.30555555555555558</v>
      </c>
      <c r="X42" s="2">
        <f>($J42-Data!$N42)*Data!K42</f>
        <v>2.2598870056497172E-2</v>
      </c>
      <c r="Y42" s="2">
        <f>($J42-Data!$N42)*Data!L42</f>
        <v>1.3888888888888892E-2</v>
      </c>
      <c r="Z42" s="2">
        <f>($J42-Data!$N42)</f>
        <v>0.33333333333333337</v>
      </c>
      <c r="AA42" s="2">
        <f>($K42-Data!$O42)*Data!I42</f>
        <v>0.11111111111111112</v>
      </c>
      <c r="AB42" s="2">
        <f>($K42-Data!$O42)*Data!J42</f>
        <v>0.30555555555555558</v>
      </c>
      <c r="AC42" s="2">
        <f>($K42-Data!$O42)*Data!K42</f>
        <v>2.2598870056497172E-2</v>
      </c>
      <c r="AD42" s="2">
        <f>($K42-Data!$O42)*Data!L42</f>
        <v>1.3888888888888892E-2</v>
      </c>
      <c r="AE42" s="2">
        <f>($K42-Data!$O42)</f>
        <v>0.33333333333333337</v>
      </c>
    </row>
    <row r="43" spans="2:31" x14ac:dyDescent="0.25">
      <c r="B43" s="2">
        <f>B$2*Data!$I43+B$3*Data!$J43+B$4*Data!$K43+B$5*Data!$L43+B$6</f>
        <v>0.17097457627118645</v>
      </c>
      <c r="C43" s="2">
        <f>C$2*Data!$I43+C$3*Data!$J43+C$4*Data!$K43+C$5*Data!$L43+C$6</f>
        <v>0.17097457627118645</v>
      </c>
      <c r="D43" s="2">
        <f>D$2*Data!$I43+D$3*Data!$J43+D$4*Data!$K43+D$5*Data!$L43+D$6</f>
        <v>0.17097457627118645</v>
      </c>
      <c r="E43" s="2">
        <f>EXP(B43)</f>
        <v>1.1864605843861191</v>
      </c>
      <c r="F43" s="2">
        <f>EXP(C43)</f>
        <v>1.1864605843861191</v>
      </c>
      <c r="G43" s="2">
        <f>EXP(D43)</f>
        <v>1.1864605843861191</v>
      </c>
      <c r="H43" s="2">
        <f>SUM(E43:G43)</f>
        <v>3.5593817531583571</v>
      </c>
      <c r="I43" s="2">
        <f>E43/$H43</f>
        <v>0.33333333333333337</v>
      </c>
      <c r="J43" s="2">
        <f>F43/$H43</f>
        <v>0.33333333333333337</v>
      </c>
      <c r="K43" s="2">
        <f>G43/$H43</f>
        <v>0.33333333333333337</v>
      </c>
      <c r="L43" s="2">
        <f>-Data!M43*LOG(I43)</f>
        <v>0.47712125471966238</v>
      </c>
      <c r="M43" s="2">
        <f>-Data!N43*LOG(J43)</f>
        <v>0</v>
      </c>
      <c r="N43" s="2">
        <f>-Data!O43*LOG(K43)</f>
        <v>0</v>
      </c>
      <c r="O43" s="2">
        <f>SUM(L43:N43)</f>
        <v>0.47712125471966238</v>
      </c>
      <c r="P43" s="2"/>
      <c r="Q43" s="2">
        <f>(I43-Data!M43)*Data!I43</f>
        <v>-0.11111111111111119</v>
      </c>
      <c r="R43" s="2">
        <f>($I43-Data!$M43)*Data!J43</f>
        <v>-0.30555555555555552</v>
      </c>
      <c r="S43" s="2">
        <f>($I43-Data!$M43)*Data!K43</f>
        <v>-5.6497175141242931E-2</v>
      </c>
      <c r="T43" s="2">
        <f>($I43-Data!$M43)*Data!L43</f>
        <v>0</v>
      </c>
      <c r="U43" s="2">
        <f>($I43-Data!$M43)</f>
        <v>-0.66666666666666663</v>
      </c>
      <c r="V43" s="2">
        <f>($J43-Data!$N43)*Data!I43</f>
        <v>5.5555555555555608E-2</v>
      </c>
      <c r="W43" s="2">
        <f>($J43-Data!$N43)*Data!J43</f>
        <v>0.15277777777777779</v>
      </c>
      <c r="X43" s="2">
        <f>($J43-Data!$N43)*Data!K43</f>
        <v>2.8248587570621472E-2</v>
      </c>
      <c r="Y43" s="2">
        <f>($J43-Data!$N43)*Data!L43</f>
        <v>0</v>
      </c>
      <c r="Z43" s="2">
        <f>($J43-Data!$N43)</f>
        <v>0.33333333333333337</v>
      </c>
      <c r="AA43" s="2">
        <f>($K43-Data!$O43)*Data!I43</f>
        <v>5.5555555555555608E-2</v>
      </c>
      <c r="AB43" s="2">
        <f>($K43-Data!$O43)*Data!J43</f>
        <v>0.15277777777777779</v>
      </c>
      <c r="AC43" s="2">
        <f>($K43-Data!$O43)*Data!K43</f>
        <v>2.8248587570621472E-2</v>
      </c>
      <c r="AD43" s="2">
        <f>($K43-Data!$O43)*Data!L43</f>
        <v>0</v>
      </c>
      <c r="AE43" s="2">
        <f>($K43-Data!$O43)</f>
        <v>0.33333333333333337</v>
      </c>
    </row>
    <row r="44" spans="2:31" x14ac:dyDescent="0.25">
      <c r="B44" s="2">
        <f>B$2*Data!$I44+B$3*Data!$J44+B$4*Data!$K44+B$5*Data!$L44+B$6</f>
        <v>0.17700094161958568</v>
      </c>
      <c r="C44" s="2">
        <f>C$2*Data!$I44+C$3*Data!$J44+C$4*Data!$K44+C$5*Data!$L44+C$6</f>
        <v>0.17700094161958568</v>
      </c>
      <c r="D44" s="2">
        <f>D$2*Data!$I44+D$3*Data!$J44+D$4*Data!$K44+D$5*Data!$L44+D$6</f>
        <v>0.17700094161958568</v>
      </c>
      <c r="E44" s="2">
        <f>EXP(B44)</f>
        <v>1.1936322170740834</v>
      </c>
      <c r="F44" s="2">
        <f>EXP(C44)</f>
        <v>1.1936322170740834</v>
      </c>
      <c r="G44" s="2">
        <f>EXP(D44)</f>
        <v>1.1936322170740834</v>
      </c>
      <c r="H44" s="2">
        <f>SUM(E44:G44)</f>
        <v>3.5808966512222504</v>
      </c>
      <c r="I44" s="2">
        <f>E44/$H44</f>
        <v>0.33333333333333331</v>
      </c>
      <c r="J44" s="2">
        <f>F44/$H44</f>
        <v>0.33333333333333331</v>
      </c>
      <c r="K44" s="2">
        <f>G44/$H44</f>
        <v>0.33333333333333331</v>
      </c>
      <c r="L44" s="2">
        <f>-Data!M44*LOG(I44)</f>
        <v>0.47712125471966244</v>
      </c>
      <c r="M44" s="2">
        <f>-Data!N44*LOG(J44)</f>
        <v>0</v>
      </c>
      <c r="N44" s="2">
        <f>-Data!O44*LOG(K44)</f>
        <v>0</v>
      </c>
      <c r="O44" s="2">
        <f>SUM(L44:N44)</f>
        <v>0.47712125471966244</v>
      </c>
      <c r="P44" s="2"/>
      <c r="Q44" s="2">
        <f>(I44-Data!M44)*Data!I44</f>
        <v>-0.12962962962962968</v>
      </c>
      <c r="R44" s="2">
        <f>($I44-Data!$M44)*Data!J44</f>
        <v>-0.33333333333333337</v>
      </c>
      <c r="S44" s="2">
        <f>($I44-Data!$M44)*Data!K44</f>
        <v>-2.2598870056497172E-2</v>
      </c>
      <c r="T44" s="2">
        <f>($I44-Data!$M44)*Data!L44</f>
        <v>-2.7777777777777783E-2</v>
      </c>
      <c r="U44" s="2">
        <f>($I44-Data!$M44)</f>
        <v>-0.66666666666666674</v>
      </c>
      <c r="V44" s="2">
        <f>($J44-Data!$N44)*Data!I44</f>
        <v>6.4814814814814825E-2</v>
      </c>
      <c r="W44" s="2">
        <f>($J44-Data!$N44)*Data!J44</f>
        <v>0.16666666666666666</v>
      </c>
      <c r="X44" s="2">
        <f>($J44-Data!$N44)*Data!K44</f>
        <v>1.1299435028248584E-2</v>
      </c>
      <c r="Y44" s="2">
        <f>($J44-Data!$N44)*Data!L44</f>
        <v>1.388888888888889E-2</v>
      </c>
      <c r="Z44" s="2">
        <f>($J44-Data!$N44)</f>
        <v>0.33333333333333331</v>
      </c>
      <c r="AA44" s="2">
        <f>($K44-Data!$O44)*Data!I44</f>
        <v>6.4814814814814825E-2</v>
      </c>
      <c r="AB44" s="2">
        <f>($K44-Data!$O44)*Data!J44</f>
        <v>0.16666666666666666</v>
      </c>
      <c r="AC44" s="2">
        <f>($K44-Data!$O44)*Data!K44</f>
        <v>1.1299435028248584E-2</v>
      </c>
      <c r="AD44" s="2">
        <f>($K44-Data!$O44)*Data!L44</f>
        <v>1.388888888888889E-2</v>
      </c>
      <c r="AE44" s="2">
        <f>($K44-Data!$O44)</f>
        <v>0.33333333333333331</v>
      </c>
    </row>
    <row r="45" spans="2:31" x14ac:dyDescent="0.25">
      <c r="B45" s="2">
        <f>B$2*Data!$I45+B$3*Data!$J45+B$4*Data!$K45+B$5*Data!$L45+B$6</f>
        <v>0.20508474576271185</v>
      </c>
      <c r="C45" s="2">
        <f>C$2*Data!$I45+C$3*Data!$J45+C$4*Data!$K45+C$5*Data!$L45+C$6</f>
        <v>0.20508474576271185</v>
      </c>
      <c r="D45" s="2">
        <f>D$2*Data!$I45+D$3*Data!$J45+D$4*Data!$K45+D$5*Data!$L45+D$6</f>
        <v>0.20508474576271185</v>
      </c>
      <c r="E45" s="2">
        <f>EXP(B45)</f>
        <v>1.2276290969191275</v>
      </c>
      <c r="F45" s="2">
        <f>EXP(C45)</f>
        <v>1.2276290969191275</v>
      </c>
      <c r="G45" s="2">
        <f>EXP(D45)</f>
        <v>1.2276290969191275</v>
      </c>
      <c r="H45" s="2">
        <f>SUM(E45:G45)</f>
        <v>3.6828872907573826</v>
      </c>
      <c r="I45" s="2">
        <f>E45/$H45</f>
        <v>0.33333333333333331</v>
      </c>
      <c r="J45" s="2">
        <f>F45/$H45</f>
        <v>0.33333333333333331</v>
      </c>
      <c r="K45" s="2">
        <f>G45/$H45</f>
        <v>0.33333333333333331</v>
      </c>
      <c r="L45" s="2">
        <f>-Data!M45*LOG(I45)</f>
        <v>0.47712125471966244</v>
      </c>
      <c r="M45" s="2">
        <f>-Data!N45*LOG(J45)</f>
        <v>0</v>
      </c>
      <c r="N45" s="2">
        <f>-Data!O45*LOG(K45)</f>
        <v>0</v>
      </c>
      <c r="O45" s="2">
        <f>SUM(L45:N45)</f>
        <v>0.47712125471966244</v>
      </c>
      <c r="P45" s="2"/>
      <c r="Q45" s="2">
        <f>(I45-Data!M45)*Data!I45</f>
        <v>-0.22222222222222224</v>
      </c>
      <c r="R45" s="2">
        <f>($I45-Data!$M45)*Data!J45</f>
        <v>-0.41666666666666663</v>
      </c>
      <c r="S45" s="2">
        <f>($I45-Data!$M45)*Data!K45</f>
        <v>-3.389830508474577E-2</v>
      </c>
      <c r="T45" s="2">
        <f>($I45-Data!$M45)*Data!L45</f>
        <v>-2.7777777777777783E-2</v>
      </c>
      <c r="U45" s="2">
        <f>($I45-Data!$M45)</f>
        <v>-0.66666666666666674</v>
      </c>
      <c r="V45" s="2">
        <f>($J45-Data!$N45)*Data!I45</f>
        <v>0.1111111111111111</v>
      </c>
      <c r="W45" s="2">
        <f>($J45-Data!$N45)*Data!J45</f>
        <v>0.20833333333333329</v>
      </c>
      <c r="X45" s="2">
        <f>($J45-Data!$N45)*Data!K45</f>
        <v>1.6949152542372881E-2</v>
      </c>
      <c r="Y45" s="2">
        <f>($J45-Data!$N45)*Data!L45</f>
        <v>1.388888888888889E-2</v>
      </c>
      <c r="Z45" s="2">
        <f>($J45-Data!$N45)</f>
        <v>0.33333333333333331</v>
      </c>
      <c r="AA45" s="2">
        <f>($K45-Data!$O45)*Data!I45</f>
        <v>0.1111111111111111</v>
      </c>
      <c r="AB45" s="2">
        <f>($K45-Data!$O45)*Data!J45</f>
        <v>0.20833333333333329</v>
      </c>
      <c r="AC45" s="2">
        <f>($K45-Data!$O45)*Data!K45</f>
        <v>1.6949152542372881E-2</v>
      </c>
      <c r="AD45" s="2">
        <f>($K45-Data!$O45)*Data!L45</f>
        <v>1.388888888888889E-2</v>
      </c>
      <c r="AE45" s="2">
        <f>($K45-Data!$O45)</f>
        <v>0.33333333333333331</v>
      </c>
    </row>
    <row r="46" spans="2:31" x14ac:dyDescent="0.25">
      <c r="B46" s="2">
        <f>B$2*Data!$I46+B$3*Data!$J46+B$4*Data!$K46+B$5*Data!$L46+B$6</f>
        <v>0.17097457627118645</v>
      </c>
      <c r="C46" s="2">
        <f>C$2*Data!$I46+C$3*Data!$J46+C$4*Data!$K46+C$5*Data!$L46+C$6</f>
        <v>0.17097457627118645</v>
      </c>
      <c r="D46" s="2">
        <f>D$2*Data!$I46+D$3*Data!$J46+D$4*Data!$K46+D$5*Data!$L46+D$6</f>
        <v>0.17097457627118645</v>
      </c>
      <c r="E46" s="2">
        <f>EXP(B46)</f>
        <v>1.1864605843861191</v>
      </c>
      <c r="F46" s="2">
        <f>EXP(C46)</f>
        <v>1.1864605843861191</v>
      </c>
      <c r="G46" s="2">
        <f>EXP(D46)</f>
        <v>1.1864605843861191</v>
      </c>
      <c r="H46" s="2">
        <f>SUM(E46:G46)</f>
        <v>3.5593817531583571</v>
      </c>
      <c r="I46" s="2">
        <f>E46/$H46</f>
        <v>0.33333333333333337</v>
      </c>
      <c r="J46" s="2">
        <f>F46/$H46</f>
        <v>0.33333333333333337</v>
      </c>
      <c r="K46" s="2">
        <f>G46/$H46</f>
        <v>0.33333333333333337</v>
      </c>
      <c r="L46" s="2">
        <f>-Data!M46*LOG(I46)</f>
        <v>0.47712125471966238</v>
      </c>
      <c r="M46" s="2">
        <f>-Data!N46*LOG(J46)</f>
        <v>0</v>
      </c>
      <c r="N46" s="2">
        <f>-Data!O46*LOG(K46)</f>
        <v>0</v>
      </c>
      <c r="O46" s="2">
        <f>SUM(L46:N46)</f>
        <v>0.47712125471966238</v>
      </c>
      <c r="P46" s="2"/>
      <c r="Q46" s="2">
        <f>(I46-Data!M46)*Data!I46</f>
        <v>-0.11111111111111119</v>
      </c>
      <c r="R46" s="2">
        <f>($I46-Data!$M46)*Data!J46</f>
        <v>-0.30555555555555552</v>
      </c>
      <c r="S46" s="2">
        <f>($I46-Data!$M46)*Data!K46</f>
        <v>-5.6497175141242931E-2</v>
      </c>
      <c r="T46" s="2">
        <f>($I46-Data!$M46)*Data!L46</f>
        <v>0</v>
      </c>
      <c r="U46" s="2">
        <f>($I46-Data!$M46)</f>
        <v>-0.66666666666666663</v>
      </c>
      <c r="V46" s="2">
        <f>($J46-Data!$N46)*Data!I46</f>
        <v>5.5555555555555608E-2</v>
      </c>
      <c r="W46" s="2">
        <f>($J46-Data!$N46)*Data!J46</f>
        <v>0.15277777777777779</v>
      </c>
      <c r="X46" s="2">
        <f>($J46-Data!$N46)*Data!K46</f>
        <v>2.8248587570621472E-2</v>
      </c>
      <c r="Y46" s="2">
        <f>($J46-Data!$N46)*Data!L46</f>
        <v>0</v>
      </c>
      <c r="Z46" s="2">
        <f>($J46-Data!$N46)</f>
        <v>0.33333333333333337</v>
      </c>
      <c r="AA46" s="2">
        <f>($K46-Data!$O46)*Data!I46</f>
        <v>5.5555555555555608E-2</v>
      </c>
      <c r="AB46" s="2">
        <f>($K46-Data!$O46)*Data!J46</f>
        <v>0.15277777777777779</v>
      </c>
      <c r="AC46" s="2">
        <f>($K46-Data!$O46)*Data!K46</f>
        <v>2.8248587570621472E-2</v>
      </c>
      <c r="AD46" s="2">
        <f>($K46-Data!$O46)*Data!L46</f>
        <v>0</v>
      </c>
      <c r="AE46" s="2">
        <f>($K46-Data!$O46)</f>
        <v>0.33333333333333337</v>
      </c>
    </row>
    <row r="47" spans="2:31" x14ac:dyDescent="0.25">
      <c r="B47" s="2">
        <f>B$2*Data!$I47+B$3*Data!$J47+B$4*Data!$K47+B$5*Data!$L47+B$6</f>
        <v>0.15369585687382298</v>
      </c>
      <c r="C47" s="2">
        <f>C$2*Data!$I47+C$3*Data!$J47+C$4*Data!$K47+C$5*Data!$L47+C$6</f>
        <v>0.15369585687382298</v>
      </c>
      <c r="D47" s="2">
        <f>D$2*Data!$I47+D$3*Data!$J47+D$4*Data!$K47+D$5*Data!$L47+D$6</f>
        <v>0.15369585687382298</v>
      </c>
      <c r="E47" s="2">
        <f>EXP(B47)</f>
        <v>1.1661361605399856</v>
      </c>
      <c r="F47" s="2">
        <f>EXP(C47)</f>
        <v>1.1661361605399856</v>
      </c>
      <c r="G47" s="2">
        <f>EXP(D47)</f>
        <v>1.1661361605399856</v>
      </c>
      <c r="H47" s="2">
        <f>SUM(E47:G47)</f>
        <v>3.4984084816199568</v>
      </c>
      <c r="I47" s="2">
        <f>E47/$H47</f>
        <v>0.33333333333333331</v>
      </c>
      <c r="J47" s="2">
        <f>F47/$H47</f>
        <v>0.33333333333333331</v>
      </c>
      <c r="K47" s="2">
        <f>G47/$H47</f>
        <v>0.33333333333333331</v>
      </c>
      <c r="L47" s="2">
        <f>-Data!M47*LOG(I47)</f>
        <v>0.47712125471966244</v>
      </c>
      <c r="M47" s="2">
        <f>-Data!N47*LOG(J47)</f>
        <v>0</v>
      </c>
      <c r="N47" s="2">
        <f>-Data!O47*LOG(K47)</f>
        <v>0</v>
      </c>
      <c r="O47" s="2">
        <f>SUM(L47:N47)</f>
        <v>0.47712125471966244</v>
      </c>
      <c r="P47" s="2"/>
      <c r="Q47" s="2">
        <f>(I47-Data!M47)*Data!I47</f>
        <v>-1.8518518518518618E-2</v>
      </c>
      <c r="R47" s="2">
        <f>($I47-Data!$M47)*Data!J47</f>
        <v>-0.27777777777777779</v>
      </c>
      <c r="S47" s="2">
        <f>($I47-Data!$M47)*Data!K47</f>
        <v>-3.389830508474577E-2</v>
      </c>
      <c r="T47" s="2">
        <f>($I47-Data!$M47)*Data!L47</f>
        <v>-2.7777777777777783E-2</v>
      </c>
      <c r="U47" s="2">
        <f>($I47-Data!$M47)</f>
        <v>-0.66666666666666674</v>
      </c>
      <c r="V47" s="2">
        <f>($J47-Data!$N47)*Data!I47</f>
        <v>9.2592592592593073E-3</v>
      </c>
      <c r="W47" s="2">
        <f>($J47-Data!$N47)*Data!J47</f>
        <v>0.13888888888888887</v>
      </c>
      <c r="X47" s="2">
        <f>($J47-Data!$N47)*Data!K47</f>
        <v>1.6949152542372881E-2</v>
      </c>
      <c r="Y47" s="2">
        <f>($J47-Data!$N47)*Data!L47</f>
        <v>1.388888888888889E-2</v>
      </c>
      <c r="Z47" s="2">
        <f>($J47-Data!$N47)</f>
        <v>0.33333333333333331</v>
      </c>
      <c r="AA47" s="2">
        <f>($K47-Data!$O47)*Data!I47</f>
        <v>9.2592592592593073E-3</v>
      </c>
      <c r="AB47" s="2">
        <f>($K47-Data!$O47)*Data!J47</f>
        <v>0.13888888888888887</v>
      </c>
      <c r="AC47" s="2">
        <f>($K47-Data!$O47)*Data!K47</f>
        <v>1.6949152542372881E-2</v>
      </c>
      <c r="AD47" s="2">
        <f>($K47-Data!$O47)*Data!L47</f>
        <v>1.388888888888889E-2</v>
      </c>
      <c r="AE47" s="2">
        <f>($K47-Data!$O47)</f>
        <v>0.33333333333333331</v>
      </c>
    </row>
    <row r="48" spans="2:31" x14ac:dyDescent="0.25">
      <c r="B48" s="2">
        <f>B$2*Data!$I48+B$3*Data!$J48+B$4*Data!$K48+B$5*Data!$L48+B$6</f>
        <v>0.19319679849340865</v>
      </c>
      <c r="C48" s="2">
        <f>C$2*Data!$I48+C$3*Data!$J48+C$4*Data!$K48+C$5*Data!$L48+C$6</f>
        <v>0.19319679849340865</v>
      </c>
      <c r="D48" s="2">
        <f>D$2*Data!$I48+D$3*Data!$J48+D$4*Data!$K48+D$5*Data!$L48+D$6</f>
        <v>0.19319679849340865</v>
      </c>
      <c r="E48" s="2">
        <f>EXP(B48)</f>
        <v>1.2131215105143673</v>
      </c>
      <c r="F48" s="2">
        <f>EXP(C48)</f>
        <v>1.2131215105143673</v>
      </c>
      <c r="G48" s="2">
        <f>EXP(D48)</f>
        <v>1.2131215105143673</v>
      </c>
      <c r="H48" s="2">
        <f>SUM(E48:G48)</f>
        <v>3.639364531543102</v>
      </c>
      <c r="I48" s="2">
        <f>E48/$H48</f>
        <v>0.33333333333333331</v>
      </c>
      <c r="J48" s="2">
        <f>F48/$H48</f>
        <v>0.33333333333333331</v>
      </c>
      <c r="K48" s="2">
        <f>G48/$H48</f>
        <v>0.33333333333333331</v>
      </c>
      <c r="L48" s="2">
        <f>-Data!M48*LOG(I48)</f>
        <v>0.47712125471966244</v>
      </c>
      <c r="M48" s="2">
        <f>-Data!N48*LOG(J48)</f>
        <v>0</v>
      </c>
      <c r="N48" s="2">
        <f>-Data!O48*LOG(K48)</f>
        <v>0</v>
      </c>
      <c r="O48" s="2">
        <f>SUM(L48:N48)</f>
        <v>0.47712125471966244</v>
      </c>
      <c r="P48" s="2"/>
      <c r="Q48" s="2">
        <f>(I48-Data!M48)*Data!I48</f>
        <v>-0.14814814814814811</v>
      </c>
      <c r="R48" s="2">
        <f>($I48-Data!$M48)*Data!J48</f>
        <v>-0.3888888888888889</v>
      </c>
      <c r="S48" s="2">
        <f>($I48-Data!$M48)*Data!K48</f>
        <v>-5.6497175141242945E-2</v>
      </c>
      <c r="T48" s="2">
        <f>($I48-Data!$M48)*Data!L48</f>
        <v>-2.7777777777777783E-2</v>
      </c>
      <c r="U48" s="2">
        <f>($I48-Data!$M48)</f>
        <v>-0.66666666666666674</v>
      </c>
      <c r="V48" s="2">
        <f>($J48-Data!$N48)*Data!I48</f>
        <v>7.4074074074074042E-2</v>
      </c>
      <c r="W48" s="2">
        <f>($J48-Data!$N48)*Data!J48</f>
        <v>0.19444444444444442</v>
      </c>
      <c r="X48" s="2">
        <f>($J48-Data!$N48)*Data!K48</f>
        <v>2.8248587570621465E-2</v>
      </c>
      <c r="Y48" s="2">
        <f>($J48-Data!$N48)*Data!L48</f>
        <v>1.388888888888889E-2</v>
      </c>
      <c r="Z48" s="2">
        <f>($J48-Data!$N48)</f>
        <v>0.33333333333333331</v>
      </c>
      <c r="AA48" s="2">
        <f>($K48-Data!$O48)*Data!I48</f>
        <v>7.4074074074074042E-2</v>
      </c>
      <c r="AB48" s="2">
        <f>($K48-Data!$O48)*Data!J48</f>
        <v>0.19444444444444442</v>
      </c>
      <c r="AC48" s="2">
        <f>($K48-Data!$O48)*Data!K48</f>
        <v>2.8248587570621465E-2</v>
      </c>
      <c r="AD48" s="2">
        <f>($K48-Data!$O48)*Data!L48</f>
        <v>1.388888888888889E-2</v>
      </c>
      <c r="AE48" s="2">
        <f>($K48-Data!$O48)</f>
        <v>0.33333333333333331</v>
      </c>
    </row>
    <row r="49" spans="2:31" x14ac:dyDescent="0.25">
      <c r="B49" s="2">
        <f>B$2*Data!$I49+B$3*Data!$J49+B$4*Data!$K49+B$5*Data!$L49+B$6</f>
        <v>0.19536252354048966</v>
      </c>
      <c r="C49" s="2">
        <f>C$2*Data!$I49+C$3*Data!$J49+C$4*Data!$K49+C$5*Data!$L49+C$6</f>
        <v>0.19536252354048966</v>
      </c>
      <c r="D49" s="2">
        <f>D$2*Data!$I49+D$3*Data!$J49+D$4*Data!$K49+D$5*Data!$L49+D$6</f>
        <v>0.19536252354048966</v>
      </c>
      <c r="E49" s="2">
        <f>EXP(B49)</f>
        <v>1.215751645201101</v>
      </c>
      <c r="F49" s="2">
        <f>EXP(C49)</f>
        <v>1.215751645201101</v>
      </c>
      <c r="G49" s="2">
        <f>EXP(D49)</f>
        <v>1.215751645201101</v>
      </c>
      <c r="H49" s="2">
        <f>SUM(E49:G49)</f>
        <v>3.647254935603303</v>
      </c>
      <c r="I49" s="2">
        <f>E49/$H49</f>
        <v>0.33333333333333331</v>
      </c>
      <c r="J49" s="2">
        <f>F49/$H49</f>
        <v>0.33333333333333331</v>
      </c>
      <c r="K49" s="2">
        <f>G49/$H49</f>
        <v>0.33333333333333331</v>
      </c>
      <c r="L49" s="2">
        <f>-Data!M49*LOG(I49)</f>
        <v>0.47712125471966244</v>
      </c>
      <c r="M49" s="2">
        <f>-Data!N49*LOG(J49)</f>
        <v>0</v>
      </c>
      <c r="N49" s="2">
        <f>-Data!O49*LOG(K49)</f>
        <v>0</v>
      </c>
      <c r="O49" s="2">
        <f>SUM(L49:N49)</f>
        <v>0.47712125471966244</v>
      </c>
      <c r="P49" s="2"/>
      <c r="Q49" s="2">
        <f>(I49-Data!M49)*Data!I49</f>
        <v>-0.12962962962962968</v>
      </c>
      <c r="R49" s="2">
        <f>($I49-Data!$M49)*Data!J49</f>
        <v>-0.41666666666666663</v>
      </c>
      <c r="S49" s="2">
        <f>($I49-Data!$M49)*Data!K49</f>
        <v>-3.389830508474577E-2</v>
      </c>
      <c r="T49" s="2">
        <f>($I49-Data!$M49)*Data!L49</f>
        <v>-5.5555555555555559E-2</v>
      </c>
      <c r="U49" s="2">
        <f>($I49-Data!$M49)</f>
        <v>-0.66666666666666674</v>
      </c>
      <c r="V49" s="2">
        <f>($J49-Data!$N49)*Data!I49</f>
        <v>6.4814814814814825E-2</v>
      </c>
      <c r="W49" s="2">
        <f>($J49-Data!$N49)*Data!J49</f>
        <v>0.20833333333333329</v>
      </c>
      <c r="X49" s="2">
        <f>($J49-Data!$N49)*Data!K49</f>
        <v>1.6949152542372881E-2</v>
      </c>
      <c r="Y49" s="2">
        <f>($J49-Data!$N49)*Data!L49</f>
        <v>2.7777777777777776E-2</v>
      </c>
      <c r="Z49" s="2">
        <f>($J49-Data!$N49)</f>
        <v>0.33333333333333331</v>
      </c>
      <c r="AA49" s="2">
        <f>($K49-Data!$O49)*Data!I49</f>
        <v>6.4814814814814825E-2</v>
      </c>
      <c r="AB49" s="2">
        <f>($K49-Data!$O49)*Data!J49</f>
        <v>0.20833333333333329</v>
      </c>
      <c r="AC49" s="2">
        <f>($K49-Data!$O49)*Data!K49</f>
        <v>1.6949152542372881E-2</v>
      </c>
      <c r="AD49" s="2">
        <f>($K49-Data!$O49)*Data!L49</f>
        <v>2.7777777777777776E-2</v>
      </c>
      <c r="AE49" s="2">
        <f>($K49-Data!$O49)</f>
        <v>0.33333333333333331</v>
      </c>
    </row>
    <row r="50" spans="2:31" x14ac:dyDescent="0.25">
      <c r="B50" s="2">
        <f>B$2*Data!$I50+B$3*Data!$J50+B$4*Data!$K50+B$5*Data!$L50+B$6</f>
        <v>0.13147363465160075</v>
      </c>
      <c r="C50" s="2">
        <f>C$2*Data!$I50+C$3*Data!$J50+C$4*Data!$K50+C$5*Data!$L50+C$6</f>
        <v>0.13147363465160075</v>
      </c>
      <c r="D50" s="2">
        <f>D$2*Data!$I50+D$3*Data!$J50+D$4*Data!$K50+D$5*Data!$L50+D$6</f>
        <v>0.13147363465160075</v>
      </c>
      <c r="E50" s="2">
        <f>EXP(B50)</f>
        <v>1.1405078374394801</v>
      </c>
      <c r="F50" s="2">
        <f>EXP(C50)</f>
        <v>1.1405078374394801</v>
      </c>
      <c r="G50" s="2">
        <f>EXP(D50)</f>
        <v>1.1405078374394801</v>
      </c>
      <c r="H50" s="2">
        <f>SUM(E50:G50)</f>
        <v>3.4215235123184407</v>
      </c>
      <c r="I50" s="2">
        <f>E50/$H50</f>
        <v>0.33333333333333331</v>
      </c>
      <c r="J50" s="2">
        <f>F50/$H50</f>
        <v>0.33333333333333331</v>
      </c>
      <c r="K50" s="2">
        <f>G50/$H50</f>
        <v>0.33333333333333331</v>
      </c>
      <c r="L50" s="2">
        <f>-Data!M50*LOG(I50)</f>
        <v>0.47712125471966244</v>
      </c>
      <c r="M50" s="2">
        <f>-Data!N50*LOG(J50)</f>
        <v>0</v>
      </c>
      <c r="N50" s="2">
        <f>-Data!O50*LOG(K50)</f>
        <v>0</v>
      </c>
      <c r="O50" s="2">
        <f>SUM(L50:N50)</f>
        <v>0.47712125471966244</v>
      </c>
      <c r="P50" s="2"/>
      <c r="Q50" s="2">
        <f>(I50-Data!M50)*Data!I50</f>
        <v>-3.703703703703707E-2</v>
      </c>
      <c r="R50" s="2">
        <f>($I50-Data!$M50)*Data!J50</f>
        <v>-8.3333333333333273E-2</v>
      </c>
      <c r="S50" s="2">
        <f>($I50-Data!$M50)*Data!K50</f>
        <v>-3.389830508474577E-2</v>
      </c>
      <c r="T50" s="2">
        <f>($I50-Data!$M50)*Data!L50</f>
        <v>-5.5555555555555559E-2</v>
      </c>
      <c r="U50" s="2">
        <f>($I50-Data!$M50)</f>
        <v>-0.66666666666666674</v>
      </c>
      <c r="V50" s="2">
        <f>($J50-Data!$N50)*Data!I50</f>
        <v>1.8518518518518531E-2</v>
      </c>
      <c r="W50" s="2">
        <f>($J50-Data!$N50)*Data!J50</f>
        <v>4.166666666666663E-2</v>
      </c>
      <c r="X50" s="2">
        <f>($J50-Data!$N50)*Data!K50</f>
        <v>1.6949152542372881E-2</v>
      </c>
      <c r="Y50" s="2">
        <f>($J50-Data!$N50)*Data!L50</f>
        <v>2.7777777777777776E-2</v>
      </c>
      <c r="Z50" s="2">
        <f>($J50-Data!$N50)</f>
        <v>0.33333333333333331</v>
      </c>
      <c r="AA50" s="2">
        <f>($K50-Data!$O50)*Data!I50</f>
        <v>1.8518518518518531E-2</v>
      </c>
      <c r="AB50" s="2">
        <f>($K50-Data!$O50)*Data!J50</f>
        <v>4.166666666666663E-2</v>
      </c>
      <c r="AC50" s="2">
        <f>($K50-Data!$O50)*Data!K50</f>
        <v>1.6949152542372881E-2</v>
      </c>
      <c r="AD50" s="2">
        <f>($K50-Data!$O50)*Data!L50</f>
        <v>2.7777777777777776E-2</v>
      </c>
      <c r="AE50" s="2">
        <f>($K50-Data!$O50)</f>
        <v>0.33333333333333331</v>
      </c>
    </row>
    <row r="51" spans="2:31" x14ac:dyDescent="0.25">
      <c r="B51" s="2">
        <f>B$2*Data!$I51+B$3*Data!$J51+B$4*Data!$K51+B$5*Data!$L51+B$6</f>
        <v>0.16202919020715634</v>
      </c>
      <c r="C51" s="2">
        <f>C$2*Data!$I51+C$3*Data!$J51+C$4*Data!$K51+C$5*Data!$L51+C$6</f>
        <v>0.16202919020715634</v>
      </c>
      <c r="D51" s="2">
        <f>D$2*Data!$I51+D$3*Data!$J51+D$4*Data!$K51+D$5*Data!$L51+D$6</f>
        <v>0.16202919020715634</v>
      </c>
      <c r="E51" s="2">
        <f>EXP(B51)</f>
        <v>1.1758945654259922</v>
      </c>
      <c r="F51" s="2">
        <f>EXP(C51)</f>
        <v>1.1758945654259922</v>
      </c>
      <c r="G51" s="2">
        <f>EXP(D51)</f>
        <v>1.1758945654259922</v>
      </c>
      <c r="H51" s="2">
        <f>SUM(E51:G51)</f>
        <v>3.5276836962779767</v>
      </c>
      <c r="I51" s="2">
        <f>E51/$H51</f>
        <v>0.33333333333333331</v>
      </c>
      <c r="J51" s="2">
        <f>F51/$H51</f>
        <v>0.33333333333333331</v>
      </c>
      <c r="K51" s="2">
        <f>G51/$H51</f>
        <v>0.33333333333333331</v>
      </c>
      <c r="L51" s="2">
        <f>-Data!M51*LOG(I51)</f>
        <v>0.47712125471966244</v>
      </c>
      <c r="M51" s="2">
        <f>-Data!N51*LOG(J51)</f>
        <v>0</v>
      </c>
      <c r="N51" s="2">
        <f>-Data!O51*LOG(K51)</f>
        <v>0</v>
      </c>
      <c r="O51" s="2">
        <f>SUM(L51:N51)</f>
        <v>0.47712125471966244</v>
      </c>
      <c r="P51" s="2"/>
      <c r="Q51" s="2">
        <f>(I51-Data!M51)*Data!I51</f>
        <v>-1.8518518518518618E-2</v>
      </c>
      <c r="R51" s="2">
        <f>($I51-Data!$M51)*Data!J51</f>
        <v>-0.33333333333333337</v>
      </c>
      <c r="S51" s="2">
        <f>($I51-Data!$M51)*Data!K51</f>
        <v>-3.389830508474577E-2</v>
      </c>
      <c r="T51" s="2">
        <f>($I51-Data!$M51)*Data!L51</f>
        <v>-2.7777777777777783E-2</v>
      </c>
      <c r="U51" s="2">
        <f>($I51-Data!$M51)</f>
        <v>-0.66666666666666674</v>
      </c>
      <c r="V51" s="2">
        <f>($J51-Data!$N51)*Data!I51</f>
        <v>9.2592592592593073E-3</v>
      </c>
      <c r="W51" s="2">
        <f>($J51-Data!$N51)*Data!J51</f>
        <v>0.16666666666666666</v>
      </c>
      <c r="X51" s="2">
        <f>($J51-Data!$N51)*Data!K51</f>
        <v>1.6949152542372881E-2</v>
      </c>
      <c r="Y51" s="2">
        <f>($J51-Data!$N51)*Data!L51</f>
        <v>1.388888888888889E-2</v>
      </c>
      <c r="Z51" s="2">
        <f>($J51-Data!$N51)</f>
        <v>0.33333333333333331</v>
      </c>
      <c r="AA51" s="2">
        <f>($K51-Data!$O51)*Data!I51</f>
        <v>9.2592592592593073E-3</v>
      </c>
      <c r="AB51" s="2">
        <f>($K51-Data!$O51)*Data!J51</f>
        <v>0.16666666666666666</v>
      </c>
      <c r="AC51" s="2">
        <f>($K51-Data!$O51)*Data!K51</f>
        <v>1.6949152542372881E-2</v>
      </c>
      <c r="AD51" s="2">
        <f>($K51-Data!$O51)*Data!L51</f>
        <v>1.388888888888889E-2</v>
      </c>
      <c r="AE51" s="2">
        <f>($K51-Data!$O51)</f>
        <v>0.33333333333333331</v>
      </c>
    </row>
    <row r="52" spans="2:31" x14ac:dyDescent="0.25">
      <c r="B52" s="2">
        <f>B$2*Data!$I52+B$3*Data!$J52+B$4*Data!$K52+B$5*Data!$L52+B$6</f>
        <v>0.21294726930320151</v>
      </c>
      <c r="C52" s="2">
        <f>C$2*Data!$I52+C$3*Data!$J52+C$4*Data!$K52+C$5*Data!$L52+C$6</f>
        <v>0.21294726930320151</v>
      </c>
      <c r="D52" s="2">
        <f>D$2*Data!$I52+D$3*Data!$J52+D$4*Data!$K52+D$5*Data!$L52+D$6</f>
        <v>0.21294726930320151</v>
      </c>
      <c r="E52" s="2">
        <f>EXP(B52)</f>
        <v>1.2373194048089931</v>
      </c>
      <c r="F52" s="2">
        <f>EXP(C52)</f>
        <v>1.2373194048089931</v>
      </c>
      <c r="G52" s="2">
        <f>EXP(D52)</f>
        <v>1.2373194048089931</v>
      </c>
      <c r="H52" s="2">
        <f>SUM(E52:G52)</f>
        <v>3.7119582144269794</v>
      </c>
      <c r="I52" s="2">
        <f>E52/$H52</f>
        <v>0.33333333333333331</v>
      </c>
      <c r="J52" s="2">
        <f>F52/$H52</f>
        <v>0.33333333333333331</v>
      </c>
      <c r="K52" s="2">
        <f>G52/$H52</f>
        <v>0.33333333333333331</v>
      </c>
      <c r="L52" s="2">
        <f>-Data!M52*LOG(I52)</f>
        <v>0.47712125471966244</v>
      </c>
      <c r="M52" s="2">
        <f>-Data!N52*LOG(J52)</f>
        <v>0</v>
      </c>
      <c r="N52" s="2">
        <f>-Data!O52*LOG(K52)</f>
        <v>0</v>
      </c>
      <c r="O52" s="2">
        <f>SUM(L52:N52)</f>
        <v>0.47712125471966244</v>
      </c>
      <c r="P52" s="2"/>
      <c r="Q52" s="2">
        <f>(I52-Data!M52)*Data!I52</f>
        <v>-0.12962962962962968</v>
      </c>
      <c r="R52" s="2">
        <f>($I52-Data!$M52)*Data!J52</f>
        <v>-0.41666666666666663</v>
      </c>
      <c r="S52" s="2">
        <f>($I52-Data!$M52)*Data!K52</f>
        <v>-6.7796610169491539E-2</v>
      </c>
      <c r="T52" s="2">
        <f>($I52-Data!$M52)*Data!L52</f>
        <v>-0.13888888888888892</v>
      </c>
      <c r="U52" s="2">
        <f>($I52-Data!$M52)</f>
        <v>-0.66666666666666674</v>
      </c>
      <c r="V52" s="2">
        <f>($J52-Data!$N52)*Data!I52</f>
        <v>6.4814814814814825E-2</v>
      </c>
      <c r="W52" s="2">
        <f>($J52-Data!$N52)*Data!J52</f>
        <v>0.20833333333333329</v>
      </c>
      <c r="X52" s="2">
        <f>($J52-Data!$N52)*Data!K52</f>
        <v>3.3898305084745763E-2</v>
      </c>
      <c r="Y52" s="2">
        <f>($J52-Data!$N52)*Data!L52</f>
        <v>6.9444444444444448E-2</v>
      </c>
      <c r="Z52" s="2">
        <f>($J52-Data!$N52)</f>
        <v>0.33333333333333331</v>
      </c>
      <c r="AA52" s="2">
        <f>($K52-Data!$O52)*Data!I52</f>
        <v>6.4814814814814825E-2</v>
      </c>
      <c r="AB52" s="2">
        <f>($K52-Data!$O52)*Data!J52</f>
        <v>0.20833333333333329</v>
      </c>
      <c r="AC52" s="2">
        <f>($K52-Data!$O52)*Data!K52</f>
        <v>3.3898305084745763E-2</v>
      </c>
      <c r="AD52" s="2">
        <f>($K52-Data!$O52)*Data!L52</f>
        <v>6.9444444444444448E-2</v>
      </c>
      <c r="AE52" s="2">
        <f>($K52-Data!$O52)</f>
        <v>0.33333333333333331</v>
      </c>
    </row>
    <row r="53" spans="2:31" x14ac:dyDescent="0.25">
      <c r="B53" s="2">
        <f>B$2*Data!$I53+B$3*Data!$J53+B$4*Data!$K53+B$5*Data!$L53+B$6</f>
        <v>0.2249764595103578</v>
      </c>
      <c r="C53" s="2">
        <f>C$2*Data!$I53+C$3*Data!$J53+C$4*Data!$K53+C$5*Data!$L53+C$6</f>
        <v>0.2249764595103578</v>
      </c>
      <c r="D53" s="2">
        <f>D$2*Data!$I53+D$3*Data!$J53+D$4*Data!$K53+D$5*Data!$L53+D$6</f>
        <v>0.2249764595103578</v>
      </c>
      <c r="E53" s="2">
        <f>EXP(B53)</f>
        <v>1.2522932362489227</v>
      </c>
      <c r="F53" s="2">
        <f>EXP(C53)</f>
        <v>1.2522932362489227</v>
      </c>
      <c r="G53" s="2">
        <f>EXP(D53)</f>
        <v>1.2522932362489227</v>
      </c>
      <c r="H53" s="2">
        <f>SUM(E53:G53)</f>
        <v>3.7568797087467685</v>
      </c>
      <c r="I53" s="2">
        <f>E53/$H53</f>
        <v>0.33333333333333331</v>
      </c>
      <c r="J53" s="2">
        <f>F53/$H53</f>
        <v>0.33333333333333331</v>
      </c>
      <c r="K53" s="2">
        <f>G53/$H53</f>
        <v>0.33333333333333331</v>
      </c>
      <c r="L53" s="2">
        <f>-Data!M53*LOG(I53)</f>
        <v>0.47712125471966244</v>
      </c>
      <c r="M53" s="2">
        <f>-Data!N53*LOG(J53)</f>
        <v>0</v>
      </c>
      <c r="N53" s="2">
        <f>-Data!O53*LOG(K53)</f>
        <v>0</v>
      </c>
      <c r="O53" s="2">
        <f>SUM(L53:N53)</f>
        <v>0.47712125471966244</v>
      </c>
      <c r="P53" s="2"/>
      <c r="Q53" s="2">
        <f>(I53-Data!M53)*Data!I53</f>
        <v>-0.14814814814814811</v>
      </c>
      <c r="R53" s="2">
        <f>($I53-Data!$M53)*Data!J53</f>
        <v>-0.49999999999999989</v>
      </c>
      <c r="S53" s="2">
        <f>($I53-Data!$M53)*Data!K53</f>
        <v>-0.10169491525423728</v>
      </c>
      <c r="T53" s="2">
        <f>($I53-Data!$M53)*Data!L53</f>
        <v>-8.3333333333333356E-2</v>
      </c>
      <c r="U53" s="2">
        <f>($I53-Data!$M53)</f>
        <v>-0.66666666666666674</v>
      </c>
      <c r="V53" s="2">
        <f>($J53-Data!$N53)*Data!I53</f>
        <v>7.4074074074074042E-2</v>
      </c>
      <c r="W53" s="2">
        <f>($J53-Data!$N53)*Data!J53</f>
        <v>0.24999999999999992</v>
      </c>
      <c r="X53" s="2">
        <f>($J53-Data!$N53)*Data!K53</f>
        <v>5.0847457627118633E-2</v>
      </c>
      <c r="Y53" s="2">
        <f>($J53-Data!$N53)*Data!L53</f>
        <v>4.1666666666666671E-2</v>
      </c>
      <c r="Z53" s="2">
        <f>($J53-Data!$N53)</f>
        <v>0.33333333333333331</v>
      </c>
      <c r="AA53" s="2">
        <f>($K53-Data!$O53)*Data!I53</f>
        <v>7.4074074074074042E-2</v>
      </c>
      <c r="AB53" s="2">
        <f>($K53-Data!$O53)*Data!J53</f>
        <v>0.24999999999999992</v>
      </c>
      <c r="AC53" s="2">
        <f>($K53-Data!$O53)*Data!K53</f>
        <v>5.0847457627118633E-2</v>
      </c>
      <c r="AD53" s="2">
        <f>($K53-Data!$O53)*Data!L53</f>
        <v>4.1666666666666671E-2</v>
      </c>
      <c r="AE53" s="2">
        <f>($K53-Data!$O53)</f>
        <v>0.33333333333333331</v>
      </c>
    </row>
    <row r="54" spans="2:31" x14ac:dyDescent="0.25">
      <c r="B54" s="2">
        <f>B$2*Data!$I54+B$3*Data!$J54+B$4*Data!$K54+B$5*Data!$L54+B$6</f>
        <v>0.17066854990583805</v>
      </c>
      <c r="C54" s="2">
        <f>C$2*Data!$I54+C$3*Data!$J54+C$4*Data!$K54+C$5*Data!$L54+C$6</f>
        <v>0.17066854990583805</v>
      </c>
      <c r="D54" s="2">
        <f>D$2*Data!$I54+D$3*Data!$J54+D$4*Data!$K54+D$5*Data!$L54+D$6</f>
        <v>0.17066854990583805</v>
      </c>
      <c r="E54" s="2">
        <f>EXP(B54)</f>
        <v>1.1860975517174677</v>
      </c>
      <c r="F54" s="2">
        <f>EXP(C54)</f>
        <v>1.1860975517174677</v>
      </c>
      <c r="G54" s="2">
        <f>EXP(D54)</f>
        <v>1.1860975517174677</v>
      </c>
      <c r="H54" s="2">
        <f>SUM(E54:G54)</f>
        <v>3.5582926551524032</v>
      </c>
      <c r="I54" s="2">
        <f>E54/$H54</f>
        <v>0.33333333333333331</v>
      </c>
      <c r="J54" s="2">
        <f>F54/$H54</f>
        <v>0.33333333333333331</v>
      </c>
      <c r="K54" s="2">
        <f>G54/$H54</f>
        <v>0.33333333333333331</v>
      </c>
      <c r="L54" s="2">
        <f>-Data!M54*LOG(I54)</f>
        <v>0.47712125471966244</v>
      </c>
      <c r="M54" s="2">
        <f>-Data!N54*LOG(J54)</f>
        <v>0</v>
      </c>
      <c r="N54" s="2">
        <f>-Data!O54*LOG(K54)</f>
        <v>0</v>
      </c>
      <c r="O54" s="2">
        <f>SUM(L54:N54)</f>
        <v>0.47712125471966244</v>
      </c>
      <c r="P54" s="2"/>
      <c r="Q54" s="2">
        <f>(I54-Data!M54)*Data!I54</f>
        <v>-9.2592592592592587E-2</v>
      </c>
      <c r="R54" s="2">
        <f>($I54-Data!$M54)*Data!J54</f>
        <v>-0.27777777777777779</v>
      </c>
      <c r="S54" s="2">
        <f>($I54-Data!$M54)*Data!K54</f>
        <v>-4.5197740112994343E-2</v>
      </c>
      <c r="T54" s="2">
        <f>($I54-Data!$M54)*Data!L54</f>
        <v>-5.5555555555555559E-2</v>
      </c>
      <c r="U54" s="2">
        <f>($I54-Data!$M54)</f>
        <v>-0.66666666666666674</v>
      </c>
      <c r="V54" s="2">
        <f>($J54-Data!$N54)*Data!I54</f>
        <v>4.6296296296296287E-2</v>
      </c>
      <c r="W54" s="2">
        <f>($J54-Data!$N54)*Data!J54</f>
        <v>0.13888888888888887</v>
      </c>
      <c r="X54" s="2">
        <f>($J54-Data!$N54)*Data!K54</f>
        <v>2.2598870056497168E-2</v>
      </c>
      <c r="Y54" s="2">
        <f>($J54-Data!$N54)*Data!L54</f>
        <v>2.7777777777777776E-2</v>
      </c>
      <c r="Z54" s="2">
        <f>($J54-Data!$N54)</f>
        <v>0.33333333333333331</v>
      </c>
      <c r="AA54" s="2">
        <f>($K54-Data!$O54)*Data!I54</f>
        <v>4.6296296296296287E-2</v>
      </c>
      <c r="AB54" s="2">
        <f>($K54-Data!$O54)*Data!J54</f>
        <v>0.13888888888888887</v>
      </c>
      <c r="AC54" s="2">
        <f>($K54-Data!$O54)*Data!K54</f>
        <v>2.2598870056497168E-2</v>
      </c>
      <c r="AD54" s="2">
        <f>($K54-Data!$O54)*Data!L54</f>
        <v>2.7777777777777776E-2</v>
      </c>
      <c r="AE54" s="2">
        <f>($K54-Data!$O54)</f>
        <v>0.33333333333333331</v>
      </c>
    </row>
    <row r="55" spans="2:31" x14ac:dyDescent="0.25">
      <c r="B55" s="2">
        <f>B$2*Data!$I55+B$3*Data!$J55+B$4*Data!$K55+B$5*Data!$L55+B$6</f>
        <v>0.2115583804143126</v>
      </c>
      <c r="C55" s="2">
        <f>C$2*Data!$I55+C$3*Data!$J55+C$4*Data!$K55+C$5*Data!$L55+C$6</f>
        <v>0.2115583804143126</v>
      </c>
      <c r="D55" s="2">
        <f>D$2*Data!$I55+D$3*Data!$J55+D$4*Data!$K55+D$5*Data!$L55+D$6</f>
        <v>0.2115583804143126</v>
      </c>
      <c r="E55" s="2">
        <f>EXP(B55)</f>
        <v>1.2356020984855416</v>
      </c>
      <c r="F55" s="2">
        <f>EXP(C55)</f>
        <v>1.2356020984855416</v>
      </c>
      <c r="G55" s="2">
        <f>EXP(D55)</f>
        <v>1.2356020984855416</v>
      </c>
      <c r="H55" s="2">
        <f>SUM(E55:G55)</f>
        <v>3.7068062954566248</v>
      </c>
      <c r="I55" s="2">
        <f>E55/$H55</f>
        <v>0.33333333333333331</v>
      </c>
      <c r="J55" s="2">
        <f>F55/$H55</f>
        <v>0.33333333333333331</v>
      </c>
      <c r="K55" s="2">
        <f>G55/$H55</f>
        <v>0.33333333333333331</v>
      </c>
      <c r="L55" s="2">
        <f>-Data!M55*LOG(I55)</f>
        <v>0.47712125471966244</v>
      </c>
      <c r="M55" s="2">
        <f>-Data!N55*LOG(J55)</f>
        <v>0</v>
      </c>
      <c r="N55" s="2">
        <f>-Data!O55*LOG(K55)</f>
        <v>0</v>
      </c>
      <c r="O55" s="2">
        <f>SUM(L55:N55)</f>
        <v>0.47712125471966244</v>
      </c>
      <c r="P55" s="2"/>
      <c r="Q55" s="2">
        <f>(I55-Data!M55)*Data!I55</f>
        <v>-0.14814814814814811</v>
      </c>
      <c r="R55" s="2">
        <f>($I55-Data!$M55)*Data!J55</f>
        <v>-0.49999999999999989</v>
      </c>
      <c r="S55" s="2">
        <f>($I55-Data!$M55)*Data!K55</f>
        <v>-6.7796610169491539E-2</v>
      </c>
      <c r="T55" s="2">
        <f>($I55-Data!$M55)*Data!L55</f>
        <v>-2.7777777777777783E-2</v>
      </c>
      <c r="U55" s="2">
        <f>($I55-Data!$M55)</f>
        <v>-0.66666666666666674</v>
      </c>
      <c r="V55" s="2">
        <f>($J55-Data!$N55)*Data!I55</f>
        <v>7.4074074074074042E-2</v>
      </c>
      <c r="W55" s="2">
        <f>($J55-Data!$N55)*Data!J55</f>
        <v>0.24999999999999992</v>
      </c>
      <c r="X55" s="2">
        <f>($J55-Data!$N55)*Data!K55</f>
        <v>3.3898305084745763E-2</v>
      </c>
      <c r="Y55" s="2">
        <f>($J55-Data!$N55)*Data!L55</f>
        <v>1.388888888888889E-2</v>
      </c>
      <c r="Z55" s="2">
        <f>($J55-Data!$N55)</f>
        <v>0.33333333333333331</v>
      </c>
      <c r="AA55" s="2">
        <f>($K55-Data!$O55)*Data!I55</f>
        <v>7.4074074074074042E-2</v>
      </c>
      <c r="AB55" s="2">
        <f>($K55-Data!$O55)*Data!J55</f>
        <v>0.24999999999999992</v>
      </c>
      <c r="AC55" s="2">
        <f>($K55-Data!$O55)*Data!K55</f>
        <v>3.3898305084745763E-2</v>
      </c>
      <c r="AD55" s="2">
        <f>($K55-Data!$O55)*Data!L55</f>
        <v>1.388888888888889E-2</v>
      </c>
      <c r="AE55" s="2">
        <f>($K55-Data!$O55)</f>
        <v>0.33333333333333331</v>
      </c>
    </row>
    <row r="56" spans="2:31" x14ac:dyDescent="0.25">
      <c r="B56" s="2">
        <f>B$2*Data!$I56+B$3*Data!$J56+B$4*Data!$K56+B$5*Data!$L56+B$6</f>
        <v>0.16927966101694916</v>
      </c>
      <c r="C56" s="2">
        <f>C$2*Data!$I56+C$3*Data!$J56+C$4*Data!$K56+C$5*Data!$L56+C$6</f>
        <v>0.16927966101694916</v>
      </c>
      <c r="D56" s="2">
        <f>D$2*Data!$I56+D$3*Data!$J56+D$4*Data!$K56+D$5*Data!$L56+D$6</f>
        <v>0.16927966101694916</v>
      </c>
      <c r="E56" s="2">
        <f>EXP(B56)</f>
        <v>1.1844513374757142</v>
      </c>
      <c r="F56" s="2">
        <f>EXP(C56)</f>
        <v>1.1844513374757142</v>
      </c>
      <c r="G56" s="2">
        <f>EXP(D56)</f>
        <v>1.1844513374757142</v>
      </c>
      <c r="H56" s="2">
        <f>SUM(E56:G56)</f>
        <v>3.5533540124271425</v>
      </c>
      <c r="I56" s="2">
        <f>E56/$H56</f>
        <v>0.33333333333333331</v>
      </c>
      <c r="J56" s="2">
        <f>F56/$H56</f>
        <v>0.33333333333333331</v>
      </c>
      <c r="K56" s="2">
        <f>G56/$H56</f>
        <v>0.33333333333333331</v>
      </c>
      <c r="L56" s="2">
        <f>-Data!M56*LOG(I56)</f>
        <v>0.47712125471966244</v>
      </c>
      <c r="M56" s="2">
        <f>-Data!N56*LOG(J56)</f>
        <v>0</v>
      </c>
      <c r="N56" s="2">
        <f>-Data!O56*LOG(K56)</f>
        <v>0</v>
      </c>
      <c r="O56" s="2">
        <f>SUM(L56:N56)</f>
        <v>0.47712125471966244</v>
      </c>
      <c r="P56" s="2"/>
      <c r="Q56" s="2">
        <f>(I56-Data!M56)*Data!I56</f>
        <v>-5.5555555555555525E-2</v>
      </c>
      <c r="R56" s="2">
        <f>($I56-Data!$M56)*Data!J56</f>
        <v>-0.33333333333333337</v>
      </c>
      <c r="S56" s="2">
        <f>($I56-Data!$M56)*Data!K56</f>
        <v>-4.5197740112994343E-2</v>
      </c>
      <c r="T56" s="2">
        <f>($I56-Data!$M56)*Data!L56</f>
        <v>-2.7777777777777783E-2</v>
      </c>
      <c r="U56" s="2">
        <f>($I56-Data!$M56)</f>
        <v>-0.66666666666666674</v>
      </c>
      <c r="V56" s="2">
        <f>($J56-Data!$N56)*Data!I56</f>
        <v>2.7777777777777755E-2</v>
      </c>
      <c r="W56" s="2">
        <f>($J56-Data!$N56)*Data!J56</f>
        <v>0.16666666666666666</v>
      </c>
      <c r="X56" s="2">
        <f>($J56-Data!$N56)*Data!K56</f>
        <v>2.2598870056497168E-2</v>
      </c>
      <c r="Y56" s="2">
        <f>($J56-Data!$N56)*Data!L56</f>
        <v>1.388888888888889E-2</v>
      </c>
      <c r="Z56" s="2">
        <f>($J56-Data!$N56)</f>
        <v>0.33333333333333331</v>
      </c>
      <c r="AA56" s="2">
        <f>($K56-Data!$O56)*Data!I56</f>
        <v>2.7777777777777755E-2</v>
      </c>
      <c r="AB56" s="2">
        <f>($K56-Data!$O56)*Data!J56</f>
        <v>0.16666666666666666</v>
      </c>
      <c r="AC56" s="2">
        <f>($K56-Data!$O56)*Data!K56</f>
        <v>2.2598870056497168E-2</v>
      </c>
      <c r="AD56" s="2">
        <f>($K56-Data!$O56)*Data!L56</f>
        <v>1.388888888888889E-2</v>
      </c>
      <c r="AE56" s="2">
        <f>($K56-Data!$O56)</f>
        <v>0.33333333333333331</v>
      </c>
    </row>
    <row r="57" spans="2:31" x14ac:dyDescent="0.25">
      <c r="B57" s="2">
        <f>B$2*Data!$I57+B$3*Data!$J57+B$4*Data!$K57+B$5*Data!$L57+B$6</f>
        <v>0.21125235404896422</v>
      </c>
      <c r="C57" s="2">
        <f>C$2*Data!$I57+C$3*Data!$J57+C$4*Data!$K57+C$5*Data!$L57+C$6</f>
        <v>0.21125235404896422</v>
      </c>
      <c r="D57" s="2">
        <f>D$2*Data!$I57+D$3*Data!$J57+D$4*Data!$K57+D$5*Data!$L57+D$6</f>
        <v>0.21125235404896422</v>
      </c>
      <c r="E57" s="2">
        <f>EXP(B57)</f>
        <v>1.2352240295188117</v>
      </c>
      <c r="F57" s="2">
        <f>EXP(C57)</f>
        <v>1.2352240295188117</v>
      </c>
      <c r="G57" s="2">
        <f>EXP(D57)</f>
        <v>1.2352240295188117</v>
      </c>
      <c r="H57" s="2">
        <f>SUM(E57:G57)</f>
        <v>3.7056720885564349</v>
      </c>
      <c r="I57" s="2">
        <f>E57/$H57</f>
        <v>0.33333333333333337</v>
      </c>
      <c r="J57" s="2">
        <f>F57/$H57</f>
        <v>0.33333333333333337</v>
      </c>
      <c r="K57" s="2">
        <f>G57/$H57</f>
        <v>0.33333333333333337</v>
      </c>
      <c r="L57" s="2">
        <f>-Data!M57*LOG(I57)</f>
        <v>0.47712125471966238</v>
      </c>
      <c r="M57" s="2">
        <f>-Data!N57*LOG(J57)</f>
        <v>0</v>
      </c>
      <c r="N57" s="2">
        <f>-Data!O57*LOG(K57)</f>
        <v>0</v>
      </c>
      <c r="O57" s="2">
        <f>SUM(L57:N57)</f>
        <v>0.47712125471966238</v>
      </c>
      <c r="P57" s="2"/>
      <c r="Q57" s="2">
        <f>(I57-Data!M57)*Data!I57</f>
        <v>-0.18518518518518515</v>
      </c>
      <c r="R57" s="2">
        <f>($I57-Data!$M57)*Data!J57</f>
        <v>-0.47222222222222215</v>
      </c>
      <c r="S57" s="2">
        <f>($I57-Data!$M57)*Data!K57</f>
        <v>-5.6497175141242931E-2</v>
      </c>
      <c r="T57" s="2">
        <f>($I57-Data!$M57)*Data!L57</f>
        <v>-2.777777777777778E-2</v>
      </c>
      <c r="U57" s="2">
        <f>($I57-Data!$M57)</f>
        <v>-0.66666666666666663</v>
      </c>
      <c r="V57" s="2">
        <f>($J57-Data!$N57)*Data!I57</f>
        <v>9.2592592592592587E-2</v>
      </c>
      <c r="W57" s="2">
        <f>($J57-Data!$N57)*Data!J57</f>
        <v>0.2361111111111111</v>
      </c>
      <c r="X57" s="2">
        <f>($J57-Data!$N57)*Data!K57</f>
        <v>2.8248587570621472E-2</v>
      </c>
      <c r="Y57" s="2">
        <f>($J57-Data!$N57)*Data!L57</f>
        <v>1.3888888888888892E-2</v>
      </c>
      <c r="Z57" s="2">
        <f>($J57-Data!$N57)</f>
        <v>0.33333333333333337</v>
      </c>
      <c r="AA57" s="2">
        <f>($K57-Data!$O57)*Data!I57</f>
        <v>9.2592592592592587E-2</v>
      </c>
      <c r="AB57" s="2">
        <f>($K57-Data!$O57)*Data!J57</f>
        <v>0.2361111111111111</v>
      </c>
      <c r="AC57" s="2">
        <f>($K57-Data!$O57)*Data!K57</f>
        <v>2.8248587570621472E-2</v>
      </c>
      <c r="AD57" s="2">
        <f>($K57-Data!$O57)*Data!L57</f>
        <v>1.3888888888888892E-2</v>
      </c>
      <c r="AE57" s="2">
        <f>($K57-Data!$O57)</f>
        <v>0.33333333333333337</v>
      </c>
    </row>
    <row r="58" spans="2:31" x14ac:dyDescent="0.25">
      <c r="B58" s="2">
        <f>B$2*Data!$I58+B$3*Data!$J58+B$4*Data!$K58+B$5*Data!$L58+B$6</f>
        <v>0.18455743879472691</v>
      </c>
      <c r="C58" s="2">
        <f>C$2*Data!$I58+C$3*Data!$J58+C$4*Data!$K58+C$5*Data!$L58+C$6</f>
        <v>0.18455743879472691</v>
      </c>
      <c r="D58" s="2">
        <f>D$2*Data!$I58+D$3*Data!$J58+D$4*Data!$K58+D$5*Data!$L58+D$6</f>
        <v>0.18455743879472691</v>
      </c>
      <c r="E58" s="2">
        <f>EXP(B58)</f>
        <v>1.2026860601386797</v>
      </c>
      <c r="F58" s="2">
        <f>EXP(C58)</f>
        <v>1.2026860601386797</v>
      </c>
      <c r="G58" s="2">
        <f>EXP(D58)</f>
        <v>1.2026860601386797</v>
      </c>
      <c r="H58" s="2">
        <f>SUM(E58:G58)</f>
        <v>3.6080581804160392</v>
      </c>
      <c r="I58" s="2">
        <f>E58/$H58</f>
        <v>0.33333333333333331</v>
      </c>
      <c r="J58" s="2">
        <f>F58/$H58</f>
        <v>0.33333333333333331</v>
      </c>
      <c r="K58" s="2">
        <f>G58/$H58</f>
        <v>0.33333333333333331</v>
      </c>
      <c r="L58" s="2">
        <f>-Data!M58*LOG(I58)</f>
        <v>0.47712125471966244</v>
      </c>
      <c r="M58" s="2">
        <f>-Data!N58*LOG(J58)</f>
        <v>0</v>
      </c>
      <c r="N58" s="2">
        <f>-Data!O58*LOG(K58)</f>
        <v>0</v>
      </c>
      <c r="O58" s="2">
        <f>SUM(L58:N58)</f>
        <v>0.47712125471966244</v>
      </c>
      <c r="P58" s="2"/>
      <c r="Q58" s="2">
        <f>(I58-Data!M58)*Data!I58</f>
        <v>-0.12962962962962968</v>
      </c>
      <c r="R58" s="2">
        <f>($I58-Data!$M58)*Data!J58</f>
        <v>-0.36111111111111105</v>
      </c>
      <c r="S58" s="2">
        <f>($I58-Data!$M58)*Data!K58</f>
        <v>-4.5197740112994343E-2</v>
      </c>
      <c r="T58" s="2">
        <f>($I58-Data!$M58)*Data!L58</f>
        <v>-2.7777777777777783E-2</v>
      </c>
      <c r="U58" s="2">
        <f>($I58-Data!$M58)</f>
        <v>-0.66666666666666674</v>
      </c>
      <c r="V58" s="2">
        <f>($J58-Data!$N58)*Data!I58</f>
        <v>6.4814814814814825E-2</v>
      </c>
      <c r="W58" s="2">
        <f>($J58-Data!$N58)*Data!J58</f>
        <v>0.1805555555555555</v>
      </c>
      <c r="X58" s="2">
        <f>($J58-Data!$N58)*Data!K58</f>
        <v>2.2598870056497168E-2</v>
      </c>
      <c r="Y58" s="2">
        <f>($J58-Data!$N58)*Data!L58</f>
        <v>1.388888888888889E-2</v>
      </c>
      <c r="Z58" s="2">
        <f>($J58-Data!$N58)</f>
        <v>0.33333333333333331</v>
      </c>
      <c r="AA58" s="2">
        <f>($K58-Data!$O58)*Data!I58</f>
        <v>6.4814814814814825E-2</v>
      </c>
      <c r="AB58" s="2">
        <f>($K58-Data!$O58)*Data!J58</f>
        <v>0.1805555555555555</v>
      </c>
      <c r="AC58" s="2">
        <f>($K58-Data!$O58)*Data!K58</f>
        <v>2.2598870056497168E-2</v>
      </c>
      <c r="AD58" s="2">
        <f>($K58-Data!$O58)*Data!L58</f>
        <v>1.388888888888889E-2</v>
      </c>
      <c r="AE58" s="2">
        <f>($K58-Data!$O58)</f>
        <v>0.33333333333333331</v>
      </c>
    </row>
    <row r="59" spans="2:31" x14ac:dyDescent="0.25">
      <c r="B59" s="2">
        <f>B$2*Data!$I59+B$3*Data!$J59+B$4*Data!$K59+B$5*Data!$L59+B$6</f>
        <v>0.34187853107344635</v>
      </c>
      <c r="C59" s="2">
        <f>C$2*Data!$I59+C$3*Data!$J59+C$4*Data!$K59+C$5*Data!$L59+C$6</f>
        <v>0.34187853107344635</v>
      </c>
      <c r="D59" s="2">
        <f>D$2*Data!$I59+D$3*Data!$J59+D$4*Data!$K59+D$5*Data!$L59+D$6</f>
        <v>0.34187853107344635</v>
      </c>
      <c r="E59" s="2">
        <f>EXP(B59)</f>
        <v>1.4075893087670388</v>
      </c>
      <c r="F59" s="2">
        <f>EXP(C59)</f>
        <v>1.4075893087670388</v>
      </c>
      <c r="G59" s="2">
        <f>EXP(D59)</f>
        <v>1.4075893087670388</v>
      </c>
      <c r="H59" s="2">
        <f>SUM(E59:G59)</f>
        <v>4.2227679263011169</v>
      </c>
      <c r="I59" s="2">
        <f>E59/$H59</f>
        <v>0.33333333333333331</v>
      </c>
      <c r="J59" s="2">
        <f>F59/$H59</f>
        <v>0.33333333333333331</v>
      </c>
      <c r="K59" s="2">
        <f>G59/$H59</f>
        <v>0.33333333333333331</v>
      </c>
      <c r="L59" s="2">
        <f>-Data!M59*LOG(I59)</f>
        <v>0</v>
      </c>
      <c r="M59" s="2">
        <f>-Data!N59*LOG(J59)</f>
        <v>0.47712125471966244</v>
      </c>
      <c r="N59" s="2">
        <f>-Data!O59*LOG(K59)</f>
        <v>0</v>
      </c>
      <c r="O59" s="2">
        <f>SUM(L59:N59)</f>
        <v>0.47712125471966244</v>
      </c>
      <c r="P59" s="2"/>
      <c r="Q59" s="2">
        <f>(I59-Data!M59)*Data!I59</f>
        <v>0.24999999999999994</v>
      </c>
      <c r="R59" s="2">
        <f>($I59-Data!$M59)*Data!J59</f>
        <v>0.16666666666666666</v>
      </c>
      <c r="S59" s="2">
        <f>($I59-Data!$M59)*Data!K59</f>
        <v>0.20903954802259886</v>
      </c>
      <c r="T59" s="2">
        <f>($I59-Data!$M59)*Data!L59</f>
        <v>0.18055555555555552</v>
      </c>
      <c r="U59" s="2">
        <f>($I59-Data!$M59)</f>
        <v>0.33333333333333331</v>
      </c>
      <c r="V59" s="2">
        <f>($J59-Data!$N59)*Data!I59</f>
        <v>-0.5</v>
      </c>
      <c r="W59" s="2">
        <f>($J59-Data!$N59)*Data!J59</f>
        <v>-0.33333333333333337</v>
      </c>
      <c r="X59" s="2">
        <f>($J59-Data!$N59)*Data!K59</f>
        <v>-0.41807909604519777</v>
      </c>
      <c r="Y59" s="2">
        <f>($J59-Data!$N59)*Data!L59</f>
        <v>-0.3611111111111111</v>
      </c>
      <c r="Z59" s="2">
        <f>($J59-Data!$N59)</f>
        <v>-0.66666666666666674</v>
      </c>
      <c r="AA59" s="2">
        <f>($K59-Data!$O59)*Data!I59</f>
        <v>0.24999999999999994</v>
      </c>
      <c r="AB59" s="2">
        <f>($K59-Data!$O59)*Data!J59</f>
        <v>0.16666666666666666</v>
      </c>
      <c r="AC59" s="2">
        <f>($K59-Data!$O59)*Data!K59</f>
        <v>0.20903954802259886</v>
      </c>
      <c r="AD59" s="2">
        <f>($K59-Data!$O59)*Data!L59</f>
        <v>0.18055555555555552</v>
      </c>
      <c r="AE59" s="2">
        <f>($K59-Data!$O59)</f>
        <v>0.33333333333333331</v>
      </c>
    </row>
    <row r="60" spans="2:31" x14ac:dyDescent="0.25">
      <c r="B60" s="2">
        <f>B$2*Data!$I60+B$3*Data!$J60+B$4*Data!$K60+B$5*Data!$L60+B$6</f>
        <v>0.32598870056497176</v>
      </c>
      <c r="C60" s="2">
        <f>C$2*Data!$I60+C$3*Data!$J60+C$4*Data!$K60+C$5*Data!$L60+C$6</f>
        <v>0.32598870056497176</v>
      </c>
      <c r="D60" s="2">
        <f>D$2*Data!$I60+D$3*Data!$J60+D$4*Data!$K60+D$5*Data!$L60+D$6</f>
        <v>0.32598870056497176</v>
      </c>
      <c r="E60" s="2">
        <f>EXP(B60)</f>
        <v>1.3853997145502797</v>
      </c>
      <c r="F60" s="2">
        <f>EXP(C60)</f>
        <v>1.3853997145502797</v>
      </c>
      <c r="G60" s="2">
        <f>EXP(D60)</f>
        <v>1.3853997145502797</v>
      </c>
      <c r="H60" s="2">
        <f>SUM(E60:G60)</f>
        <v>4.1561991436508388</v>
      </c>
      <c r="I60" s="2">
        <f>E60/$H60</f>
        <v>0.33333333333333337</v>
      </c>
      <c r="J60" s="2">
        <f>F60/$H60</f>
        <v>0.33333333333333337</v>
      </c>
      <c r="K60" s="2">
        <f>G60/$H60</f>
        <v>0.33333333333333337</v>
      </c>
      <c r="L60" s="2">
        <f>-Data!M60*LOG(I60)</f>
        <v>0</v>
      </c>
      <c r="M60" s="2">
        <f>-Data!N60*LOG(J60)</f>
        <v>0.47712125471966238</v>
      </c>
      <c r="N60" s="2">
        <f>-Data!O60*LOG(K60)</f>
        <v>0</v>
      </c>
      <c r="O60" s="2">
        <f>SUM(L60:N60)</f>
        <v>0.47712125471966238</v>
      </c>
      <c r="P60" s="2"/>
      <c r="Q60" s="2">
        <f>(I60-Data!M60)*Data!I60</f>
        <v>0.19444444444444448</v>
      </c>
      <c r="R60" s="2">
        <f>($I60-Data!$M60)*Data!J60</f>
        <v>0.16666666666666669</v>
      </c>
      <c r="S60" s="2">
        <f>($I60-Data!$M60)*Data!K60</f>
        <v>0.19774011299435029</v>
      </c>
      <c r="T60" s="2">
        <f>($I60-Data!$M60)*Data!L60</f>
        <v>0.19444444444444448</v>
      </c>
      <c r="U60" s="2">
        <f>($I60-Data!$M60)</f>
        <v>0.33333333333333337</v>
      </c>
      <c r="V60" s="2">
        <f>($J60-Data!$N60)*Data!I60</f>
        <v>-0.3888888888888889</v>
      </c>
      <c r="W60" s="2">
        <f>($J60-Data!$N60)*Data!J60</f>
        <v>-0.33333333333333331</v>
      </c>
      <c r="X60" s="2">
        <f>($J60-Data!$N60)*Data!K60</f>
        <v>-0.39548022598870053</v>
      </c>
      <c r="Y60" s="2">
        <f>($J60-Data!$N60)*Data!L60</f>
        <v>-0.3888888888888889</v>
      </c>
      <c r="Z60" s="2">
        <f>($J60-Data!$N60)</f>
        <v>-0.66666666666666663</v>
      </c>
      <c r="AA60" s="2">
        <f>($K60-Data!$O60)*Data!I60</f>
        <v>0.19444444444444448</v>
      </c>
      <c r="AB60" s="2">
        <f>($K60-Data!$O60)*Data!J60</f>
        <v>0.16666666666666669</v>
      </c>
      <c r="AC60" s="2">
        <f>($K60-Data!$O60)*Data!K60</f>
        <v>0.19774011299435029</v>
      </c>
      <c r="AD60" s="2">
        <f>($K60-Data!$O60)*Data!L60</f>
        <v>0.19444444444444448</v>
      </c>
      <c r="AE60" s="2">
        <f>($K60-Data!$O60)</f>
        <v>0.33333333333333337</v>
      </c>
    </row>
    <row r="61" spans="2:31" x14ac:dyDescent="0.25">
      <c r="B61" s="2">
        <f>B$2*Data!$I61+B$3*Data!$J61+B$4*Data!$K61+B$5*Data!$L61+B$6</f>
        <v>0.34249058380414316</v>
      </c>
      <c r="C61" s="2">
        <f>C$2*Data!$I61+C$3*Data!$J61+C$4*Data!$K61+C$5*Data!$L61+C$6</f>
        <v>0.34249058380414316</v>
      </c>
      <c r="D61" s="2">
        <f>D$2*Data!$I61+D$3*Data!$J61+D$4*Data!$K61+D$5*Data!$L61+D$6</f>
        <v>0.34249058380414316</v>
      </c>
      <c r="E61" s="2">
        <f>EXP(B61)</f>
        <v>1.4084510913484578</v>
      </c>
      <c r="F61" s="2">
        <f>EXP(C61)</f>
        <v>1.4084510913484578</v>
      </c>
      <c r="G61" s="2">
        <f>EXP(D61)</f>
        <v>1.4084510913484578</v>
      </c>
      <c r="H61" s="2">
        <f>SUM(E61:G61)</f>
        <v>4.2253532740453732</v>
      </c>
      <c r="I61" s="2">
        <f>E61/$H61</f>
        <v>0.33333333333333337</v>
      </c>
      <c r="J61" s="2">
        <f>F61/$H61</f>
        <v>0.33333333333333337</v>
      </c>
      <c r="K61" s="2">
        <f>G61/$H61</f>
        <v>0.33333333333333337</v>
      </c>
      <c r="L61" s="2">
        <f>-Data!M61*LOG(I61)</f>
        <v>0</v>
      </c>
      <c r="M61" s="2">
        <f>-Data!N61*LOG(J61)</f>
        <v>0.47712125471966238</v>
      </c>
      <c r="N61" s="2">
        <f>-Data!O61*LOG(K61)</f>
        <v>0</v>
      </c>
      <c r="O61" s="2">
        <f>SUM(L61:N61)</f>
        <v>0.47712125471966238</v>
      </c>
      <c r="P61" s="2"/>
      <c r="Q61" s="2">
        <f>(I61-Data!M61)*Data!I61</f>
        <v>0.24074074074074076</v>
      </c>
      <c r="R61" s="2">
        <f>($I61-Data!$M61)*Data!J61</f>
        <v>0.15277777777777779</v>
      </c>
      <c r="S61" s="2">
        <f>($I61-Data!$M61)*Data!K61</f>
        <v>0.22033898305084748</v>
      </c>
      <c r="T61" s="2">
        <f>($I61-Data!$M61)*Data!L61</f>
        <v>0.19444444444444448</v>
      </c>
      <c r="U61" s="2">
        <f>($I61-Data!$M61)</f>
        <v>0.33333333333333337</v>
      </c>
      <c r="V61" s="2">
        <f>($J61-Data!$N61)*Data!I61</f>
        <v>-0.48148148148148145</v>
      </c>
      <c r="W61" s="2">
        <f>($J61-Data!$N61)*Data!J61</f>
        <v>-0.30555555555555552</v>
      </c>
      <c r="X61" s="2">
        <f>($J61-Data!$N61)*Data!K61</f>
        <v>-0.44067796610169491</v>
      </c>
      <c r="Y61" s="2">
        <f>($J61-Data!$N61)*Data!L61</f>
        <v>-0.3888888888888889</v>
      </c>
      <c r="Z61" s="2">
        <f>($J61-Data!$N61)</f>
        <v>-0.66666666666666663</v>
      </c>
      <c r="AA61" s="2">
        <f>($K61-Data!$O61)*Data!I61</f>
        <v>0.24074074074074076</v>
      </c>
      <c r="AB61" s="2">
        <f>($K61-Data!$O61)*Data!J61</f>
        <v>0.15277777777777779</v>
      </c>
      <c r="AC61" s="2">
        <f>($K61-Data!$O61)*Data!K61</f>
        <v>0.22033898305084748</v>
      </c>
      <c r="AD61" s="2">
        <f>($K61-Data!$O61)*Data!L61</f>
        <v>0.19444444444444448</v>
      </c>
      <c r="AE61" s="2">
        <f>($K61-Data!$O61)</f>
        <v>0.33333333333333337</v>
      </c>
    </row>
    <row r="62" spans="2:31" x14ac:dyDescent="0.25">
      <c r="B62" s="2">
        <f>B$2*Data!$I62+B$3*Data!$J62+B$4*Data!$K62+B$5*Data!$L62+B$6</f>
        <v>0.24668079096045198</v>
      </c>
      <c r="C62" s="2">
        <f>C$2*Data!$I62+C$3*Data!$J62+C$4*Data!$K62+C$5*Data!$L62+C$6</f>
        <v>0.24668079096045198</v>
      </c>
      <c r="D62" s="2">
        <f>D$2*Data!$I62+D$3*Data!$J62+D$4*Data!$K62+D$5*Data!$L62+D$6</f>
        <v>0.24668079096045198</v>
      </c>
      <c r="E62" s="2">
        <f>EXP(B62)</f>
        <v>1.2797705332478397</v>
      </c>
      <c r="F62" s="2">
        <f>EXP(C62)</f>
        <v>1.2797705332478397</v>
      </c>
      <c r="G62" s="2">
        <f>EXP(D62)</f>
        <v>1.2797705332478397</v>
      </c>
      <c r="H62" s="2">
        <f>SUM(E62:G62)</f>
        <v>3.8393115997435192</v>
      </c>
      <c r="I62" s="2">
        <f>E62/$H62</f>
        <v>0.33333333333333331</v>
      </c>
      <c r="J62" s="2">
        <f>F62/$H62</f>
        <v>0.33333333333333331</v>
      </c>
      <c r="K62" s="2">
        <f>G62/$H62</f>
        <v>0.33333333333333331</v>
      </c>
      <c r="L62" s="2">
        <f>-Data!M62*LOG(I62)</f>
        <v>0</v>
      </c>
      <c r="M62" s="2">
        <f>-Data!N62*LOG(J62)</f>
        <v>0.47712125471966244</v>
      </c>
      <c r="N62" s="2">
        <f>-Data!O62*LOG(K62)</f>
        <v>0</v>
      </c>
      <c r="O62" s="2">
        <f>SUM(L62:N62)</f>
        <v>0.47712125471966244</v>
      </c>
      <c r="P62" s="2"/>
      <c r="Q62" s="2">
        <f>(I62-Data!M62)*Data!I62</f>
        <v>0.1111111111111111</v>
      </c>
      <c r="R62" s="2">
        <f>($I62-Data!$M62)*Data!J62</f>
        <v>4.166666666666663E-2</v>
      </c>
      <c r="S62" s="2">
        <f>($I62-Data!$M62)*Data!K62</f>
        <v>0.16949152542372881</v>
      </c>
      <c r="T62" s="2">
        <f>($I62-Data!$M62)*Data!L62</f>
        <v>0.16666666666666666</v>
      </c>
      <c r="U62" s="2">
        <f>($I62-Data!$M62)</f>
        <v>0.33333333333333331</v>
      </c>
      <c r="V62" s="2">
        <f>($J62-Data!$N62)*Data!I62</f>
        <v>-0.22222222222222224</v>
      </c>
      <c r="W62" s="2">
        <f>($J62-Data!$N62)*Data!J62</f>
        <v>-8.3333333333333273E-2</v>
      </c>
      <c r="X62" s="2">
        <f>($J62-Data!$N62)*Data!K62</f>
        <v>-0.33898305084745767</v>
      </c>
      <c r="Y62" s="2">
        <f>($J62-Data!$N62)*Data!L62</f>
        <v>-0.33333333333333337</v>
      </c>
      <c r="Z62" s="2">
        <f>($J62-Data!$N62)</f>
        <v>-0.66666666666666674</v>
      </c>
      <c r="AA62" s="2">
        <f>($K62-Data!$O62)*Data!I62</f>
        <v>0.1111111111111111</v>
      </c>
      <c r="AB62" s="2">
        <f>($K62-Data!$O62)*Data!J62</f>
        <v>4.166666666666663E-2</v>
      </c>
      <c r="AC62" s="2">
        <f>($K62-Data!$O62)*Data!K62</f>
        <v>0.16949152542372881</v>
      </c>
      <c r="AD62" s="2">
        <f>($K62-Data!$O62)*Data!L62</f>
        <v>0.16666666666666666</v>
      </c>
      <c r="AE62" s="2">
        <f>($K62-Data!$O62)</f>
        <v>0.33333333333333331</v>
      </c>
    </row>
    <row r="63" spans="2:31" x14ac:dyDescent="0.25">
      <c r="B63" s="2">
        <f>B$2*Data!$I63+B$3*Data!$J63+B$4*Data!$K63+B$5*Data!$L63+B$6</f>
        <v>0.31379472693032018</v>
      </c>
      <c r="C63" s="2">
        <f>C$2*Data!$I63+C$3*Data!$J63+C$4*Data!$K63+C$5*Data!$L63+C$6</f>
        <v>0.31379472693032018</v>
      </c>
      <c r="D63" s="2">
        <f>D$2*Data!$I63+D$3*Data!$J63+D$4*Data!$K63+D$5*Data!$L63+D$6</f>
        <v>0.31379472693032018</v>
      </c>
      <c r="E63" s="2">
        <f>EXP(B63)</f>
        <v>1.3686087691876041</v>
      </c>
      <c r="F63" s="2">
        <f>EXP(C63)</f>
        <v>1.3686087691876041</v>
      </c>
      <c r="G63" s="2">
        <f>EXP(D63)</f>
        <v>1.3686087691876041</v>
      </c>
      <c r="H63" s="2">
        <f>SUM(E63:G63)</f>
        <v>4.1058263075628121</v>
      </c>
      <c r="I63" s="2">
        <f>E63/$H63</f>
        <v>0.33333333333333337</v>
      </c>
      <c r="J63" s="2">
        <f>F63/$H63</f>
        <v>0.33333333333333337</v>
      </c>
      <c r="K63" s="2">
        <f>G63/$H63</f>
        <v>0.33333333333333337</v>
      </c>
      <c r="L63" s="2">
        <f>-Data!M63*LOG(I63)</f>
        <v>0</v>
      </c>
      <c r="M63" s="2">
        <f>-Data!N63*LOG(J63)</f>
        <v>0.47712125471966238</v>
      </c>
      <c r="N63" s="2">
        <f>-Data!O63*LOG(K63)</f>
        <v>0</v>
      </c>
      <c r="O63" s="2">
        <f>SUM(L63:N63)</f>
        <v>0.47712125471966238</v>
      </c>
      <c r="P63" s="2"/>
      <c r="Q63" s="2">
        <f>(I63-Data!M63)*Data!I63</f>
        <v>0.20370370370370369</v>
      </c>
      <c r="R63" s="2">
        <f>($I63-Data!$M63)*Data!J63</f>
        <v>0.11111111111111108</v>
      </c>
      <c r="S63" s="2">
        <f>($I63-Data!$M63)*Data!K63</f>
        <v>0.20338983050847456</v>
      </c>
      <c r="T63" s="2">
        <f>($I63-Data!$M63)*Data!L63</f>
        <v>0.19444444444444448</v>
      </c>
      <c r="U63" s="2">
        <f>($I63-Data!$M63)</f>
        <v>0.33333333333333337</v>
      </c>
      <c r="V63" s="2">
        <f>($J63-Data!$N63)*Data!I63</f>
        <v>-0.40740740740740733</v>
      </c>
      <c r="W63" s="2">
        <f>($J63-Data!$N63)*Data!J63</f>
        <v>-0.22222222222222213</v>
      </c>
      <c r="X63" s="2">
        <f>($J63-Data!$N63)*Data!K63</f>
        <v>-0.40677966101694907</v>
      </c>
      <c r="Y63" s="2">
        <f>($J63-Data!$N63)*Data!L63</f>
        <v>-0.3888888888888889</v>
      </c>
      <c r="Z63" s="2">
        <f>($J63-Data!$N63)</f>
        <v>-0.66666666666666663</v>
      </c>
      <c r="AA63" s="2">
        <f>($K63-Data!$O63)*Data!I63</f>
        <v>0.20370370370370369</v>
      </c>
      <c r="AB63" s="2">
        <f>($K63-Data!$O63)*Data!J63</f>
        <v>0.11111111111111108</v>
      </c>
      <c r="AC63" s="2">
        <f>($K63-Data!$O63)*Data!K63</f>
        <v>0.20338983050847456</v>
      </c>
      <c r="AD63" s="2">
        <f>($K63-Data!$O63)*Data!L63</f>
        <v>0.19444444444444448</v>
      </c>
      <c r="AE63" s="2">
        <f>($K63-Data!$O63)</f>
        <v>0.33333333333333337</v>
      </c>
    </row>
    <row r="64" spans="2:31" x14ac:dyDescent="0.25">
      <c r="B64" s="2">
        <f>B$2*Data!$I64+B$3*Data!$J64+B$4*Data!$K64+B$5*Data!$L64+B$6</f>
        <v>0.28154425612052736</v>
      </c>
      <c r="C64" s="2">
        <f>C$2*Data!$I64+C$3*Data!$J64+C$4*Data!$K64+C$5*Data!$L64+C$6</f>
        <v>0.28154425612052736</v>
      </c>
      <c r="D64" s="2">
        <f>D$2*Data!$I64+D$3*Data!$J64+D$4*Data!$K64+D$5*Data!$L64+D$6</f>
        <v>0.28154425612052736</v>
      </c>
      <c r="E64" s="2">
        <f>EXP(B64)</f>
        <v>1.3251746421124757</v>
      </c>
      <c r="F64" s="2">
        <f>EXP(C64)</f>
        <v>1.3251746421124757</v>
      </c>
      <c r="G64" s="2">
        <f>EXP(D64)</f>
        <v>1.3251746421124757</v>
      </c>
      <c r="H64" s="2">
        <f>SUM(E64:G64)</f>
        <v>3.9755239263374271</v>
      </c>
      <c r="I64" s="2">
        <f>E64/$H64</f>
        <v>0.33333333333333331</v>
      </c>
      <c r="J64" s="2">
        <f>F64/$H64</f>
        <v>0.33333333333333331</v>
      </c>
      <c r="K64" s="2">
        <f>G64/$H64</f>
        <v>0.33333333333333331</v>
      </c>
      <c r="L64" s="2">
        <f>-Data!M64*LOG(I64)</f>
        <v>0</v>
      </c>
      <c r="M64" s="2">
        <f>-Data!N64*LOG(J64)</f>
        <v>0.47712125471966244</v>
      </c>
      <c r="N64" s="2">
        <f>-Data!O64*LOG(K64)</f>
        <v>0</v>
      </c>
      <c r="O64" s="2">
        <f>SUM(L64:N64)</f>
        <v>0.47712125471966244</v>
      </c>
      <c r="P64" s="2"/>
      <c r="Q64" s="2">
        <f>(I64-Data!M64)*Data!I64</f>
        <v>0.12962962962962965</v>
      </c>
      <c r="R64" s="2">
        <f>($I64-Data!$M64)*Data!J64</f>
        <v>0.11111111111111106</v>
      </c>
      <c r="S64" s="2">
        <f>($I64-Data!$M64)*Data!K64</f>
        <v>0.19774011299435026</v>
      </c>
      <c r="T64" s="2">
        <f>($I64-Data!$M64)*Data!L64</f>
        <v>0.16666666666666666</v>
      </c>
      <c r="U64" s="2">
        <f>($I64-Data!$M64)</f>
        <v>0.33333333333333331</v>
      </c>
      <c r="V64" s="2">
        <f>($J64-Data!$N64)*Data!I64</f>
        <v>-0.25925925925925936</v>
      </c>
      <c r="W64" s="2">
        <f>($J64-Data!$N64)*Data!J64</f>
        <v>-0.22222222222222215</v>
      </c>
      <c r="X64" s="2">
        <f>($J64-Data!$N64)*Data!K64</f>
        <v>-0.39548022598870058</v>
      </c>
      <c r="Y64" s="2">
        <f>($J64-Data!$N64)*Data!L64</f>
        <v>-0.33333333333333337</v>
      </c>
      <c r="Z64" s="2">
        <f>($J64-Data!$N64)</f>
        <v>-0.66666666666666674</v>
      </c>
      <c r="AA64" s="2">
        <f>($K64-Data!$O64)*Data!I64</f>
        <v>0.12962962962962965</v>
      </c>
      <c r="AB64" s="2">
        <f>($K64-Data!$O64)*Data!J64</f>
        <v>0.11111111111111106</v>
      </c>
      <c r="AC64" s="2">
        <f>($K64-Data!$O64)*Data!K64</f>
        <v>0.19774011299435026</v>
      </c>
      <c r="AD64" s="2">
        <f>($K64-Data!$O64)*Data!L64</f>
        <v>0.16666666666666666</v>
      </c>
      <c r="AE64" s="2">
        <f>($K64-Data!$O64)</f>
        <v>0.33333333333333331</v>
      </c>
    </row>
    <row r="65" spans="2:31" x14ac:dyDescent="0.25">
      <c r="B65" s="2">
        <f>B$2*Data!$I65+B$3*Data!$J65+B$4*Data!$K65+B$5*Data!$L65+B$6</f>
        <v>0.33493408662900187</v>
      </c>
      <c r="C65" s="2">
        <f>C$2*Data!$I65+C$3*Data!$J65+C$4*Data!$K65+C$5*Data!$L65+C$6</f>
        <v>0.33493408662900187</v>
      </c>
      <c r="D65" s="2">
        <f>D$2*Data!$I65+D$3*Data!$J65+D$4*Data!$K65+D$5*Data!$L65+D$6</f>
        <v>0.33493408662900187</v>
      </c>
      <c r="E65" s="2">
        <f>EXP(B65)</f>
        <v>1.3978482452958825</v>
      </c>
      <c r="F65" s="2">
        <f>EXP(C65)</f>
        <v>1.3978482452958825</v>
      </c>
      <c r="G65" s="2">
        <f>EXP(D65)</f>
        <v>1.3978482452958825</v>
      </c>
      <c r="H65" s="2">
        <f>SUM(E65:G65)</f>
        <v>4.193544735887647</v>
      </c>
      <c r="I65" s="2">
        <f>E65/$H65</f>
        <v>0.33333333333333337</v>
      </c>
      <c r="J65" s="2">
        <f>F65/$H65</f>
        <v>0.33333333333333337</v>
      </c>
      <c r="K65" s="2">
        <f>G65/$H65</f>
        <v>0.33333333333333337</v>
      </c>
      <c r="L65" s="2">
        <f>-Data!M65*LOG(I65)</f>
        <v>0</v>
      </c>
      <c r="M65" s="2">
        <f>-Data!N65*LOG(J65)</f>
        <v>0.47712125471966238</v>
      </c>
      <c r="N65" s="2">
        <f>-Data!O65*LOG(K65)</f>
        <v>0</v>
      </c>
      <c r="O65" s="2">
        <f>SUM(L65:N65)</f>
        <v>0.47712125471966238</v>
      </c>
      <c r="P65" s="2"/>
      <c r="Q65" s="2">
        <f>(I65-Data!M65)*Data!I65</f>
        <v>0.18518518518518517</v>
      </c>
      <c r="R65" s="2">
        <f>($I65-Data!$M65)*Data!J65</f>
        <v>0.18055555555555552</v>
      </c>
      <c r="S65" s="2">
        <f>($I65-Data!$M65)*Data!K65</f>
        <v>0.20903954802259889</v>
      </c>
      <c r="T65" s="2">
        <f>($I65-Data!$M65)*Data!L65</f>
        <v>0.20833333333333337</v>
      </c>
      <c r="U65" s="2">
        <f>($I65-Data!$M65)</f>
        <v>0.33333333333333337</v>
      </c>
      <c r="V65" s="2">
        <f>($J65-Data!$N65)*Data!I65</f>
        <v>-0.37037037037037029</v>
      </c>
      <c r="W65" s="2">
        <f>($J65-Data!$N65)*Data!J65</f>
        <v>-0.36111111111111099</v>
      </c>
      <c r="X65" s="2">
        <f>($J65-Data!$N65)*Data!K65</f>
        <v>-0.41807909604519772</v>
      </c>
      <c r="Y65" s="2">
        <f>($J65-Data!$N65)*Data!L65</f>
        <v>-0.41666666666666663</v>
      </c>
      <c r="Z65" s="2">
        <f>($J65-Data!$N65)</f>
        <v>-0.66666666666666663</v>
      </c>
      <c r="AA65" s="2">
        <f>($K65-Data!$O65)*Data!I65</f>
        <v>0.18518518518518517</v>
      </c>
      <c r="AB65" s="2">
        <f>($K65-Data!$O65)*Data!J65</f>
        <v>0.18055555555555552</v>
      </c>
      <c r="AC65" s="2">
        <f>($K65-Data!$O65)*Data!K65</f>
        <v>0.20903954802259889</v>
      </c>
      <c r="AD65" s="2">
        <f>($K65-Data!$O65)*Data!L65</f>
        <v>0.20833333333333337</v>
      </c>
      <c r="AE65" s="2">
        <f>($K65-Data!$O65)</f>
        <v>0.33333333333333337</v>
      </c>
    </row>
    <row r="66" spans="2:31" x14ac:dyDescent="0.25">
      <c r="B66" s="2">
        <f>B$2*Data!$I66+B$3*Data!$J66+B$4*Data!$K66+B$5*Data!$L66+B$6</f>
        <v>0.20981638418079096</v>
      </c>
      <c r="C66" s="2">
        <f>C$2*Data!$I66+C$3*Data!$J66+C$4*Data!$K66+C$5*Data!$L66+C$6</f>
        <v>0.20981638418079096</v>
      </c>
      <c r="D66" s="2">
        <f>D$2*Data!$I66+D$3*Data!$J66+D$4*Data!$K66+D$5*Data!$L66+D$6</f>
        <v>0.20981638418079096</v>
      </c>
      <c r="E66" s="2">
        <f>EXP(B66)</f>
        <v>1.2334515579444367</v>
      </c>
      <c r="F66" s="2">
        <f>EXP(C66)</f>
        <v>1.2334515579444367</v>
      </c>
      <c r="G66" s="2">
        <f>EXP(D66)</f>
        <v>1.2334515579444367</v>
      </c>
      <c r="H66" s="2">
        <f>SUM(E66:G66)</f>
        <v>3.70035467383331</v>
      </c>
      <c r="I66" s="2">
        <f>E66/$H66</f>
        <v>0.33333333333333337</v>
      </c>
      <c r="J66" s="2">
        <f>F66/$H66</f>
        <v>0.33333333333333337</v>
      </c>
      <c r="K66" s="2">
        <f>G66/$H66</f>
        <v>0.33333333333333337</v>
      </c>
      <c r="L66" s="2">
        <f>-Data!M66*LOG(I66)</f>
        <v>0</v>
      </c>
      <c r="M66" s="2">
        <f>-Data!N66*LOG(J66)</f>
        <v>0.47712125471966238</v>
      </c>
      <c r="N66" s="2">
        <f>-Data!O66*LOG(K66)</f>
        <v>0</v>
      </c>
      <c r="O66" s="2">
        <f>SUM(L66:N66)</f>
        <v>0.47712125471966238</v>
      </c>
      <c r="P66" s="2"/>
      <c r="Q66" s="2">
        <f>(I66-Data!M66)*Data!I66</f>
        <v>5.5555555555555608E-2</v>
      </c>
      <c r="R66" s="2">
        <f>($I66-Data!$M66)*Data!J66</f>
        <v>5.5555555555555539E-2</v>
      </c>
      <c r="S66" s="2">
        <f>($I66-Data!$M66)*Data!K66</f>
        <v>0.12994350282485875</v>
      </c>
      <c r="T66" s="2">
        <f>($I66-Data!$M66)*Data!L66</f>
        <v>0.125</v>
      </c>
      <c r="U66" s="2">
        <f>($I66-Data!$M66)</f>
        <v>0.33333333333333337</v>
      </c>
      <c r="V66" s="2">
        <f>($J66-Data!$N66)*Data!I66</f>
        <v>-0.11111111111111119</v>
      </c>
      <c r="W66" s="2">
        <f>($J66-Data!$N66)*Data!J66</f>
        <v>-0.11111111111111106</v>
      </c>
      <c r="X66" s="2">
        <f>($J66-Data!$N66)*Data!K66</f>
        <v>-0.25988700564971745</v>
      </c>
      <c r="Y66" s="2">
        <f>($J66-Data!$N66)*Data!L66</f>
        <v>-0.25</v>
      </c>
      <c r="Z66" s="2">
        <f>($J66-Data!$N66)</f>
        <v>-0.66666666666666663</v>
      </c>
      <c r="AA66" s="2">
        <f>($K66-Data!$O66)*Data!I66</f>
        <v>5.5555555555555608E-2</v>
      </c>
      <c r="AB66" s="2">
        <f>($K66-Data!$O66)*Data!J66</f>
        <v>5.5555555555555539E-2</v>
      </c>
      <c r="AC66" s="2">
        <f>($K66-Data!$O66)*Data!K66</f>
        <v>0.12994350282485875</v>
      </c>
      <c r="AD66" s="2">
        <f>($K66-Data!$O66)*Data!L66</f>
        <v>0.125</v>
      </c>
      <c r="AE66" s="2">
        <f>($K66-Data!$O66)</f>
        <v>0.33333333333333337</v>
      </c>
    </row>
    <row r="67" spans="2:31" x14ac:dyDescent="0.25">
      <c r="B67" s="2">
        <f>B$2*Data!$I67+B$3*Data!$J67+B$4*Data!$K67+B$5*Data!$L67+B$6</f>
        <v>0.31240583804143118</v>
      </c>
      <c r="C67" s="2">
        <f>C$2*Data!$I67+C$3*Data!$J67+C$4*Data!$K67+C$5*Data!$L67+C$6</f>
        <v>0.31240583804143118</v>
      </c>
      <c r="D67" s="2">
        <f>D$2*Data!$I67+D$3*Data!$J67+D$4*Data!$K67+D$5*Data!$L67+D$6</f>
        <v>0.31240583804143118</v>
      </c>
      <c r="E67" s="2">
        <f>EXP(B67)</f>
        <v>1.3667092430955359</v>
      </c>
      <c r="F67" s="2">
        <f>EXP(C67)</f>
        <v>1.3667092430955359</v>
      </c>
      <c r="G67" s="2">
        <f>EXP(D67)</f>
        <v>1.3667092430955359</v>
      </c>
      <c r="H67" s="2">
        <f>SUM(E67:G67)</f>
        <v>4.1001277292866076</v>
      </c>
      <c r="I67" s="2">
        <f>E67/$H67</f>
        <v>0.33333333333333331</v>
      </c>
      <c r="J67" s="2">
        <f>F67/$H67</f>
        <v>0.33333333333333331</v>
      </c>
      <c r="K67" s="2">
        <f>G67/$H67</f>
        <v>0.33333333333333331</v>
      </c>
      <c r="L67" s="2">
        <f>-Data!M67*LOG(I67)</f>
        <v>0</v>
      </c>
      <c r="M67" s="2">
        <f>-Data!N67*LOG(J67)</f>
        <v>0.47712125471966244</v>
      </c>
      <c r="N67" s="2">
        <f>-Data!O67*LOG(K67)</f>
        <v>0</v>
      </c>
      <c r="O67" s="2">
        <f>SUM(L67:N67)</f>
        <v>0.47712125471966244</v>
      </c>
      <c r="P67" s="2"/>
      <c r="Q67" s="2">
        <f>(I67-Data!M67)*Data!I67</f>
        <v>0.21296296296296291</v>
      </c>
      <c r="R67" s="2">
        <f>($I67-Data!$M67)*Data!J67</f>
        <v>0.12499999999999996</v>
      </c>
      <c r="S67" s="2">
        <f>($I67-Data!$M67)*Data!K67</f>
        <v>0.20338983050847453</v>
      </c>
      <c r="T67" s="2">
        <f>($I67-Data!$M67)*Data!L67</f>
        <v>0.16666666666666666</v>
      </c>
      <c r="U67" s="2">
        <f>($I67-Data!$M67)</f>
        <v>0.33333333333333331</v>
      </c>
      <c r="V67" s="2">
        <f>($J67-Data!$N67)*Data!I67</f>
        <v>-0.42592592592592587</v>
      </c>
      <c r="W67" s="2">
        <f>($J67-Data!$N67)*Data!J67</f>
        <v>-0.24999999999999994</v>
      </c>
      <c r="X67" s="2">
        <f>($J67-Data!$N67)*Data!K67</f>
        <v>-0.40677966101694912</v>
      </c>
      <c r="Y67" s="2">
        <f>($J67-Data!$N67)*Data!L67</f>
        <v>-0.33333333333333337</v>
      </c>
      <c r="Z67" s="2">
        <f>($J67-Data!$N67)</f>
        <v>-0.66666666666666674</v>
      </c>
      <c r="AA67" s="2">
        <f>($K67-Data!$O67)*Data!I67</f>
        <v>0.21296296296296291</v>
      </c>
      <c r="AB67" s="2">
        <f>($K67-Data!$O67)*Data!J67</f>
        <v>0.12499999999999996</v>
      </c>
      <c r="AC67" s="2">
        <f>($K67-Data!$O67)*Data!K67</f>
        <v>0.20338983050847453</v>
      </c>
      <c r="AD67" s="2">
        <f>($K67-Data!$O67)*Data!L67</f>
        <v>0.16666666666666666</v>
      </c>
      <c r="AE67" s="2">
        <f>($K67-Data!$O67)</f>
        <v>0.33333333333333331</v>
      </c>
    </row>
    <row r="68" spans="2:31" x14ac:dyDescent="0.25">
      <c r="B68" s="2">
        <f>B$2*Data!$I68+B$3*Data!$J68+B$4*Data!$K68+B$5*Data!$L68+B$6</f>
        <v>0.25748587570621473</v>
      </c>
      <c r="C68" s="2">
        <f>C$2*Data!$I68+C$3*Data!$J68+C$4*Data!$K68+C$5*Data!$L68+C$6</f>
        <v>0.25748587570621473</v>
      </c>
      <c r="D68" s="2">
        <f>D$2*Data!$I68+D$3*Data!$J68+D$4*Data!$K68+D$5*Data!$L68+D$6</f>
        <v>0.25748587570621473</v>
      </c>
      <c r="E68" s="2">
        <f>EXP(B68)</f>
        <v>1.2936735386261524</v>
      </c>
      <c r="F68" s="2">
        <f>EXP(C68)</f>
        <v>1.2936735386261524</v>
      </c>
      <c r="G68" s="2">
        <f>EXP(D68)</f>
        <v>1.2936735386261524</v>
      </c>
      <c r="H68" s="2">
        <f>SUM(E68:G68)</f>
        <v>3.881020615878457</v>
      </c>
      <c r="I68" s="2">
        <f>E68/$H68</f>
        <v>0.33333333333333337</v>
      </c>
      <c r="J68" s="2">
        <f>F68/$H68</f>
        <v>0.33333333333333337</v>
      </c>
      <c r="K68" s="2">
        <f>G68/$H68</f>
        <v>0.33333333333333337</v>
      </c>
      <c r="L68" s="2">
        <f>-Data!M68*LOG(I68)</f>
        <v>0</v>
      </c>
      <c r="M68" s="2">
        <f>-Data!N68*LOG(J68)</f>
        <v>0.47712125471966238</v>
      </c>
      <c r="N68" s="2">
        <f>-Data!O68*LOG(K68)</f>
        <v>0</v>
      </c>
      <c r="O68" s="2">
        <f>SUM(L68:N68)</f>
        <v>0.47712125471966238</v>
      </c>
      <c r="P68" s="2"/>
      <c r="Q68" s="2">
        <f>(I68-Data!M68)*Data!I68</f>
        <v>8.3333333333333356E-2</v>
      </c>
      <c r="R68" s="2">
        <f>($I68-Data!$M68)*Data!J68</f>
        <v>9.7222222222222238E-2</v>
      </c>
      <c r="S68" s="2">
        <f>($I68-Data!$M68)*Data!K68</f>
        <v>0.16384180790960454</v>
      </c>
      <c r="T68" s="2">
        <f>($I68-Data!$M68)*Data!L68</f>
        <v>0.18055555555555555</v>
      </c>
      <c r="U68" s="2">
        <f>($I68-Data!$M68)</f>
        <v>0.33333333333333337</v>
      </c>
      <c r="V68" s="2">
        <f>($J68-Data!$N68)*Data!I68</f>
        <v>-0.16666666666666669</v>
      </c>
      <c r="W68" s="2">
        <f>($J68-Data!$N68)*Data!J68</f>
        <v>-0.19444444444444445</v>
      </c>
      <c r="X68" s="2">
        <f>($J68-Data!$N68)*Data!K68</f>
        <v>-0.32768361581920902</v>
      </c>
      <c r="Y68" s="2">
        <f>($J68-Data!$N68)*Data!L68</f>
        <v>-0.36111111111111105</v>
      </c>
      <c r="Z68" s="2">
        <f>($J68-Data!$N68)</f>
        <v>-0.66666666666666663</v>
      </c>
      <c r="AA68" s="2">
        <f>($K68-Data!$O68)*Data!I68</f>
        <v>8.3333333333333356E-2</v>
      </c>
      <c r="AB68" s="2">
        <f>($K68-Data!$O68)*Data!J68</f>
        <v>9.7222222222222238E-2</v>
      </c>
      <c r="AC68" s="2">
        <f>($K68-Data!$O68)*Data!K68</f>
        <v>0.16384180790960454</v>
      </c>
      <c r="AD68" s="2">
        <f>($K68-Data!$O68)*Data!L68</f>
        <v>0.18055555555555555</v>
      </c>
      <c r="AE68" s="2">
        <f>($K68-Data!$O68)</f>
        <v>0.33333333333333337</v>
      </c>
    </row>
    <row r="69" spans="2:31" x14ac:dyDescent="0.25">
      <c r="B69" s="2">
        <f>B$2*Data!$I69+B$3*Data!$J69+B$4*Data!$K69+B$5*Data!$L69+B$6</f>
        <v>0.19931732580037664</v>
      </c>
      <c r="C69" s="2">
        <f>C$2*Data!$I69+C$3*Data!$J69+C$4*Data!$K69+C$5*Data!$L69+C$6</f>
        <v>0.19931732580037664</v>
      </c>
      <c r="D69" s="2">
        <f>D$2*Data!$I69+D$3*Data!$J69+D$4*Data!$K69+D$5*Data!$L69+D$6</f>
        <v>0.19931732580037664</v>
      </c>
      <c r="E69" s="2">
        <f>EXP(B69)</f>
        <v>1.2205692225588218</v>
      </c>
      <c r="F69" s="2">
        <f>EXP(C69)</f>
        <v>1.2205692225588218</v>
      </c>
      <c r="G69" s="2">
        <f>EXP(D69)</f>
        <v>1.2205692225588218</v>
      </c>
      <c r="H69" s="2">
        <f>SUM(E69:G69)</f>
        <v>3.6617076676764655</v>
      </c>
      <c r="I69" s="2">
        <f>E69/$H69</f>
        <v>0.33333333333333331</v>
      </c>
      <c r="J69" s="2">
        <f>F69/$H69</f>
        <v>0.33333333333333331</v>
      </c>
      <c r="K69" s="2">
        <f>G69/$H69</f>
        <v>0.33333333333333331</v>
      </c>
      <c r="L69" s="2">
        <f>-Data!M69*LOG(I69)</f>
        <v>0</v>
      </c>
      <c r="M69" s="2">
        <f>-Data!N69*LOG(J69)</f>
        <v>0.47712125471966244</v>
      </c>
      <c r="N69" s="2">
        <f>-Data!O69*LOG(K69)</f>
        <v>0</v>
      </c>
      <c r="O69" s="2">
        <f>SUM(L69:N69)</f>
        <v>0.47712125471966244</v>
      </c>
      <c r="P69" s="2"/>
      <c r="Q69" s="2">
        <f>(I69-Data!M69)*Data!I69</f>
        <v>6.4814814814814825E-2</v>
      </c>
      <c r="R69" s="2">
        <f>($I69-Data!$M69)*Data!J69</f>
        <v>0</v>
      </c>
      <c r="S69" s="2">
        <f>($I69-Data!$M69)*Data!K69</f>
        <v>0.14124293785310732</v>
      </c>
      <c r="T69" s="2">
        <f>($I69-Data!$M69)*Data!L69</f>
        <v>0.125</v>
      </c>
      <c r="U69" s="2">
        <f>($I69-Data!$M69)</f>
        <v>0.33333333333333331</v>
      </c>
      <c r="V69" s="2">
        <f>($J69-Data!$N69)*Data!I69</f>
        <v>-0.12962962962962968</v>
      </c>
      <c r="W69" s="2">
        <f>($J69-Data!$N69)*Data!J69</f>
        <v>0</v>
      </c>
      <c r="X69" s="2">
        <f>($J69-Data!$N69)*Data!K69</f>
        <v>-0.2824858757062147</v>
      </c>
      <c r="Y69" s="2">
        <f>($J69-Data!$N69)*Data!L69</f>
        <v>-0.25</v>
      </c>
      <c r="Z69" s="2">
        <f>($J69-Data!$N69)</f>
        <v>-0.66666666666666674</v>
      </c>
      <c r="AA69" s="2">
        <f>($K69-Data!$O69)*Data!I69</f>
        <v>6.4814814814814825E-2</v>
      </c>
      <c r="AB69" s="2">
        <f>($K69-Data!$O69)*Data!J69</f>
        <v>0</v>
      </c>
      <c r="AC69" s="2">
        <f>($K69-Data!$O69)*Data!K69</f>
        <v>0.14124293785310732</v>
      </c>
      <c r="AD69" s="2">
        <f>($K69-Data!$O69)*Data!L69</f>
        <v>0.125</v>
      </c>
      <c r="AE69" s="2">
        <f>($K69-Data!$O69)</f>
        <v>0.33333333333333331</v>
      </c>
    </row>
    <row r="70" spans="2:31" x14ac:dyDescent="0.25">
      <c r="B70" s="2">
        <f>B$2*Data!$I70+B$3*Data!$J70+B$4*Data!$K70+B$5*Data!$L70+B$6</f>
        <v>0.29868173258003772</v>
      </c>
      <c r="C70" s="2">
        <f>C$2*Data!$I70+C$3*Data!$J70+C$4*Data!$K70+C$5*Data!$L70+C$6</f>
        <v>0.29868173258003772</v>
      </c>
      <c r="D70" s="2">
        <f>D$2*Data!$I70+D$3*Data!$J70+D$4*Data!$K70+D$5*Data!$L70+D$6</f>
        <v>0.29868173258003772</v>
      </c>
      <c r="E70" s="2">
        <f>EXP(B70)</f>
        <v>1.348080505085077</v>
      </c>
      <c r="F70" s="2">
        <f>EXP(C70)</f>
        <v>1.348080505085077</v>
      </c>
      <c r="G70" s="2">
        <f>EXP(D70)</f>
        <v>1.348080505085077</v>
      </c>
      <c r="H70" s="2">
        <f>SUM(E70:G70)</f>
        <v>4.0442415152552309</v>
      </c>
      <c r="I70" s="2">
        <f>E70/$H70</f>
        <v>0.33333333333333337</v>
      </c>
      <c r="J70" s="2">
        <f>F70/$H70</f>
        <v>0.33333333333333337</v>
      </c>
      <c r="K70" s="2">
        <f>G70/$H70</f>
        <v>0.33333333333333337</v>
      </c>
      <c r="L70" s="2">
        <f>-Data!M70*LOG(I70)</f>
        <v>0</v>
      </c>
      <c r="M70" s="2">
        <f>-Data!N70*LOG(J70)</f>
        <v>0.47712125471966238</v>
      </c>
      <c r="N70" s="2">
        <f>-Data!O70*LOG(K70)</f>
        <v>0</v>
      </c>
      <c r="O70" s="2">
        <f>SUM(L70:N70)</f>
        <v>0.47712125471966238</v>
      </c>
      <c r="P70" s="2"/>
      <c r="Q70" s="2">
        <f>(I70-Data!M70)*Data!I70</f>
        <v>0.1481481481481482</v>
      </c>
      <c r="R70" s="2">
        <f>($I70-Data!$M70)*Data!J70</f>
        <v>0.1388888888888889</v>
      </c>
      <c r="S70" s="2">
        <f>($I70-Data!$M70)*Data!K70</f>
        <v>0.18079096045197743</v>
      </c>
      <c r="T70" s="2">
        <f>($I70-Data!$M70)*Data!L70</f>
        <v>0.19444444444444448</v>
      </c>
      <c r="U70" s="2">
        <f>($I70-Data!$M70)</f>
        <v>0.33333333333333337</v>
      </c>
      <c r="V70" s="2">
        <f>($J70-Data!$N70)*Data!I70</f>
        <v>-0.29629629629629634</v>
      </c>
      <c r="W70" s="2">
        <f>($J70-Data!$N70)*Data!J70</f>
        <v>-0.27777777777777773</v>
      </c>
      <c r="X70" s="2">
        <f>($J70-Data!$N70)*Data!K70</f>
        <v>-0.3615819209039548</v>
      </c>
      <c r="Y70" s="2">
        <f>($J70-Data!$N70)*Data!L70</f>
        <v>-0.3888888888888889</v>
      </c>
      <c r="Z70" s="2">
        <f>($J70-Data!$N70)</f>
        <v>-0.66666666666666663</v>
      </c>
      <c r="AA70" s="2">
        <f>($K70-Data!$O70)*Data!I70</f>
        <v>0.1481481481481482</v>
      </c>
      <c r="AB70" s="2">
        <f>($K70-Data!$O70)*Data!J70</f>
        <v>0.1388888888888889</v>
      </c>
      <c r="AC70" s="2">
        <f>($K70-Data!$O70)*Data!K70</f>
        <v>0.18079096045197743</v>
      </c>
      <c r="AD70" s="2">
        <f>($K70-Data!$O70)*Data!L70</f>
        <v>0.19444444444444448</v>
      </c>
      <c r="AE70" s="2">
        <f>($K70-Data!$O70)</f>
        <v>0.33333333333333337</v>
      </c>
    </row>
    <row r="71" spans="2:31" x14ac:dyDescent="0.25">
      <c r="B71" s="2">
        <f>B$2*Data!$I71+B$3*Data!$J71+B$4*Data!$K71+B$5*Data!$L71+B$6</f>
        <v>0.24390301318267421</v>
      </c>
      <c r="C71" s="2">
        <f>C$2*Data!$I71+C$3*Data!$J71+C$4*Data!$K71+C$5*Data!$L71+C$6</f>
        <v>0.24390301318267421</v>
      </c>
      <c r="D71" s="2">
        <f>D$2*Data!$I71+D$3*Data!$J71+D$4*Data!$K71+D$5*Data!$L71+D$6</f>
        <v>0.24390301318267421</v>
      </c>
      <c r="E71" s="2">
        <f>EXP(B71)</f>
        <v>1.2762205479177646</v>
      </c>
      <c r="F71" s="2">
        <f>EXP(C71)</f>
        <v>1.2762205479177646</v>
      </c>
      <c r="G71" s="2">
        <f>EXP(D71)</f>
        <v>1.2762205479177646</v>
      </c>
      <c r="H71" s="2">
        <f>SUM(E71:G71)</f>
        <v>3.8286616437532937</v>
      </c>
      <c r="I71" s="2">
        <f>E71/$H71</f>
        <v>0.33333333333333337</v>
      </c>
      <c r="J71" s="2">
        <f>F71/$H71</f>
        <v>0.33333333333333337</v>
      </c>
      <c r="K71" s="2">
        <f>G71/$H71</f>
        <v>0.33333333333333337</v>
      </c>
      <c r="L71" s="2">
        <f>-Data!M71*LOG(I71)</f>
        <v>0</v>
      </c>
      <c r="M71" s="2">
        <f>-Data!N71*LOG(J71)</f>
        <v>0.47712125471966238</v>
      </c>
      <c r="N71" s="2">
        <f>-Data!O71*LOG(K71)</f>
        <v>0</v>
      </c>
      <c r="O71" s="2">
        <f>SUM(L71:N71)</f>
        <v>0.47712125471966238</v>
      </c>
      <c r="P71" s="2"/>
      <c r="Q71" s="2">
        <f>(I71-Data!M71)*Data!I71</f>
        <v>0.15740740740740741</v>
      </c>
      <c r="R71" s="2">
        <f>($I71-Data!$M71)*Data!J71</f>
        <v>2.7777777777777804E-2</v>
      </c>
      <c r="S71" s="2">
        <f>($I71-Data!$M71)*Data!K71</f>
        <v>0.16949152542372883</v>
      </c>
      <c r="T71" s="2">
        <f>($I71-Data!$M71)*Data!L71</f>
        <v>0.125</v>
      </c>
      <c r="U71" s="2">
        <f>($I71-Data!$M71)</f>
        <v>0.33333333333333337</v>
      </c>
      <c r="V71" s="2">
        <f>($J71-Data!$N71)*Data!I71</f>
        <v>-0.31481481481481477</v>
      </c>
      <c r="W71" s="2">
        <f>($J71-Data!$N71)*Data!J71</f>
        <v>-5.5555555555555594E-2</v>
      </c>
      <c r="X71" s="2">
        <f>($J71-Data!$N71)*Data!K71</f>
        <v>-0.33898305084745761</v>
      </c>
      <c r="Y71" s="2">
        <f>($J71-Data!$N71)*Data!L71</f>
        <v>-0.25</v>
      </c>
      <c r="Z71" s="2">
        <f>($J71-Data!$N71)</f>
        <v>-0.66666666666666663</v>
      </c>
      <c r="AA71" s="2">
        <f>($K71-Data!$O71)*Data!I71</f>
        <v>0.15740740740740741</v>
      </c>
      <c r="AB71" s="2">
        <f>($K71-Data!$O71)*Data!J71</f>
        <v>2.7777777777777804E-2</v>
      </c>
      <c r="AC71" s="2">
        <f>($K71-Data!$O71)*Data!K71</f>
        <v>0.16949152542372883</v>
      </c>
      <c r="AD71" s="2">
        <f>($K71-Data!$O71)*Data!L71</f>
        <v>0.125</v>
      </c>
      <c r="AE71" s="2">
        <f>($K71-Data!$O71)</f>
        <v>0.33333333333333337</v>
      </c>
    </row>
    <row r="72" spans="2:31" x14ac:dyDescent="0.25">
      <c r="B72" s="2">
        <f>B$2*Data!$I72+B$3*Data!$J72+B$4*Data!$K72+B$5*Data!$L72+B$6</f>
        <v>0.30437853107344631</v>
      </c>
      <c r="C72" s="2">
        <f>C$2*Data!$I72+C$3*Data!$J72+C$4*Data!$K72+C$5*Data!$L72+C$6</f>
        <v>0.30437853107344631</v>
      </c>
      <c r="D72" s="2">
        <f>D$2*Data!$I72+D$3*Data!$J72+D$4*Data!$K72+D$5*Data!$L72+D$6</f>
        <v>0.30437853107344631</v>
      </c>
      <c r="E72" s="2">
        <f>EXP(B72)</f>
        <v>1.3557821646479218</v>
      </c>
      <c r="F72" s="2">
        <f>EXP(C72)</f>
        <v>1.3557821646479218</v>
      </c>
      <c r="G72" s="2">
        <f>EXP(D72)</f>
        <v>1.3557821646479218</v>
      </c>
      <c r="H72" s="2">
        <f>SUM(E72:G72)</f>
        <v>4.0673464939437656</v>
      </c>
      <c r="I72" s="2">
        <f>E72/$H72</f>
        <v>0.33333333333333331</v>
      </c>
      <c r="J72" s="2">
        <f>F72/$H72</f>
        <v>0.33333333333333331</v>
      </c>
      <c r="K72" s="2">
        <f>G72/$H72</f>
        <v>0.33333333333333331</v>
      </c>
      <c r="L72" s="2">
        <f>-Data!M72*LOG(I72)</f>
        <v>0</v>
      </c>
      <c r="M72" s="2">
        <f>-Data!N72*LOG(J72)</f>
        <v>0.47712125471966244</v>
      </c>
      <c r="N72" s="2">
        <f>-Data!O72*LOG(K72)</f>
        <v>0</v>
      </c>
      <c r="O72" s="2">
        <f>SUM(L72:N72)</f>
        <v>0.47712125471966244</v>
      </c>
      <c r="P72" s="2"/>
      <c r="Q72" s="2">
        <f>(I72-Data!M72)*Data!I72</f>
        <v>0.16666666666666663</v>
      </c>
      <c r="R72" s="2">
        <f>($I72-Data!$M72)*Data!J72</f>
        <v>0.12499999999999996</v>
      </c>
      <c r="S72" s="2">
        <f>($I72-Data!$M72)*Data!K72</f>
        <v>0.20903954802259886</v>
      </c>
      <c r="T72" s="2">
        <f>($I72-Data!$M72)*Data!L72</f>
        <v>0.18055555555555552</v>
      </c>
      <c r="U72" s="2">
        <f>($I72-Data!$M72)</f>
        <v>0.33333333333333331</v>
      </c>
      <c r="V72" s="2">
        <f>($J72-Data!$N72)*Data!I72</f>
        <v>-0.33333333333333331</v>
      </c>
      <c r="W72" s="2">
        <f>($J72-Data!$N72)*Data!J72</f>
        <v>-0.24999999999999994</v>
      </c>
      <c r="X72" s="2">
        <f>($J72-Data!$N72)*Data!K72</f>
        <v>-0.41807909604519777</v>
      </c>
      <c r="Y72" s="2">
        <f>($J72-Data!$N72)*Data!L72</f>
        <v>-0.3611111111111111</v>
      </c>
      <c r="Z72" s="2">
        <f>($J72-Data!$N72)</f>
        <v>-0.66666666666666674</v>
      </c>
      <c r="AA72" s="2">
        <f>($K72-Data!$O72)*Data!I72</f>
        <v>0.16666666666666663</v>
      </c>
      <c r="AB72" s="2">
        <f>($K72-Data!$O72)*Data!J72</f>
        <v>0.12499999999999996</v>
      </c>
      <c r="AC72" s="2">
        <f>($K72-Data!$O72)*Data!K72</f>
        <v>0.20903954802259886</v>
      </c>
      <c r="AD72" s="2">
        <f>($K72-Data!$O72)*Data!L72</f>
        <v>0.18055555555555552</v>
      </c>
      <c r="AE72" s="2">
        <f>($K72-Data!$O72)</f>
        <v>0.33333333333333331</v>
      </c>
    </row>
    <row r="73" spans="2:31" x14ac:dyDescent="0.25">
      <c r="B73" s="2">
        <f>B$2*Data!$I73+B$3*Data!$J73+B$4*Data!$K73+B$5*Data!$L73+B$6</f>
        <v>0.26767890772128056</v>
      </c>
      <c r="C73" s="2">
        <f>C$2*Data!$I73+C$3*Data!$J73+C$4*Data!$K73+C$5*Data!$L73+C$6</f>
        <v>0.26767890772128056</v>
      </c>
      <c r="D73" s="2">
        <f>D$2*Data!$I73+D$3*Data!$J73+D$4*Data!$K73+D$5*Data!$L73+D$6</f>
        <v>0.26767890772128056</v>
      </c>
      <c r="E73" s="2">
        <f>EXP(B73)</f>
        <v>1.3069274283293681</v>
      </c>
      <c r="F73" s="2">
        <f>EXP(C73)</f>
        <v>1.3069274283293681</v>
      </c>
      <c r="G73" s="2">
        <f>EXP(D73)</f>
        <v>1.3069274283293681</v>
      </c>
      <c r="H73" s="2">
        <f>SUM(E73:G73)</f>
        <v>3.9207822849881042</v>
      </c>
      <c r="I73" s="2">
        <f>E73/$H73</f>
        <v>0.33333333333333337</v>
      </c>
      <c r="J73" s="2">
        <f>F73/$H73</f>
        <v>0.33333333333333337</v>
      </c>
      <c r="K73" s="2">
        <f>G73/$H73</f>
        <v>0.33333333333333337</v>
      </c>
      <c r="L73" s="2">
        <f>-Data!M73*LOG(I73)</f>
        <v>0</v>
      </c>
      <c r="M73" s="2">
        <f>-Data!N73*LOG(J73)</f>
        <v>0.47712125471966238</v>
      </c>
      <c r="N73" s="2">
        <f>-Data!O73*LOG(K73)</f>
        <v>0</v>
      </c>
      <c r="O73" s="2">
        <f>SUM(L73:N73)</f>
        <v>0.47712125471966238</v>
      </c>
      <c r="P73" s="2"/>
      <c r="Q73" s="2">
        <f>(I73-Data!M73)*Data!I73</f>
        <v>0.12037037037037035</v>
      </c>
      <c r="R73" s="2">
        <f>($I73-Data!$M73)*Data!J73</f>
        <v>0.12499999999999997</v>
      </c>
      <c r="S73" s="2">
        <f>($I73-Data!$M73)*Data!K73</f>
        <v>0.14689265536723164</v>
      </c>
      <c r="T73" s="2">
        <f>($I73-Data!$M73)*Data!L73</f>
        <v>0.16666666666666669</v>
      </c>
      <c r="U73" s="2">
        <f>($I73-Data!$M73)</f>
        <v>0.33333333333333337</v>
      </c>
      <c r="V73" s="2">
        <f>($J73-Data!$N73)*Data!I73</f>
        <v>-0.24074074074074064</v>
      </c>
      <c r="W73" s="2">
        <f>($J73-Data!$N73)*Data!J73</f>
        <v>-0.24999999999999992</v>
      </c>
      <c r="X73" s="2">
        <f>($J73-Data!$N73)*Data!K73</f>
        <v>-0.29378531073446323</v>
      </c>
      <c r="Y73" s="2">
        <f>($J73-Data!$N73)*Data!L73</f>
        <v>-0.33333333333333331</v>
      </c>
      <c r="Z73" s="2">
        <f>($J73-Data!$N73)</f>
        <v>-0.66666666666666663</v>
      </c>
      <c r="AA73" s="2">
        <f>($K73-Data!$O73)*Data!I73</f>
        <v>0.12037037037037035</v>
      </c>
      <c r="AB73" s="2">
        <f>($K73-Data!$O73)*Data!J73</f>
        <v>0.12499999999999997</v>
      </c>
      <c r="AC73" s="2">
        <f>($K73-Data!$O73)*Data!K73</f>
        <v>0.14689265536723164</v>
      </c>
      <c r="AD73" s="2">
        <f>($K73-Data!$O73)*Data!L73</f>
        <v>0.16666666666666669</v>
      </c>
      <c r="AE73" s="2">
        <f>($K73-Data!$O73)</f>
        <v>0.33333333333333337</v>
      </c>
    </row>
    <row r="74" spans="2:31" x14ac:dyDescent="0.25">
      <c r="B74" s="2">
        <f>B$2*Data!$I74+B$3*Data!$J74+B$4*Data!$K74+B$5*Data!$L74+B$6</f>
        <v>0.32429378531073449</v>
      </c>
      <c r="C74" s="2">
        <f>C$2*Data!$I74+C$3*Data!$J74+C$4*Data!$K74+C$5*Data!$L74+C$6</f>
        <v>0.32429378531073449</v>
      </c>
      <c r="D74" s="2">
        <f>D$2*Data!$I74+D$3*Data!$J74+D$4*Data!$K74+D$5*Data!$L74+D$6</f>
        <v>0.32429378531073449</v>
      </c>
      <c r="E74" s="2">
        <f>EXP(B74)</f>
        <v>1.3830535682620939</v>
      </c>
      <c r="F74" s="2">
        <f>EXP(C74)</f>
        <v>1.3830535682620939</v>
      </c>
      <c r="G74" s="2">
        <f>EXP(D74)</f>
        <v>1.3830535682620939</v>
      </c>
      <c r="H74" s="2">
        <f>SUM(E74:G74)</f>
        <v>4.149160704786282</v>
      </c>
      <c r="I74" s="2">
        <f>E74/$H74</f>
        <v>0.33333333333333331</v>
      </c>
      <c r="J74" s="2">
        <f>F74/$H74</f>
        <v>0.33333333333333331</v>
      </c>
      <c r="K74" s="2">
        <f>G74/$H74</f>
        <v>0.33333333333333331</v>
      </c>
      <c r="L74" s="2">
        <f>-Data!M74*LOG(I74)</f>
        <v>0</v>
      </c>
      <c r="M74" s="2">
        <f>-Data!N74*LOG(J74)</f>
        <v>0.47712125471966244</v>
      </c>
      <c r="N74" s="2">
        <f>-Data!O74*LOG(K74)</f>
        <v>0</v>
      </c>
      <c r="O74" s="2">
        <f>SUM(L74:N74)</f>
        <v>0.47712125471966244</v>
      </c>
      <c r="P74" s="2"/>
      <c r="Q74" s="2">
        <f>(I74-Data!M74)*Data!I74</f>
        <v>0.22222222222222221</v>
      </c>
      <c r="R74" s="2">
        <f>($I74-Data!$M74)*Data!J74</f>
        <v>0.15277777777777776</v>
      </c>
      <c r="S74" s="2">
        <f>($I74-Data!$M74)*Data!K74</f>
        <v>0.19209039548022599</v>
      </c>
      <c r="T74" s="2">
        <f>($I74-Data!$M74)*Data!L74</f>
        <v>0.18055555555555552</v>
      </c>
      <c r="U74" s="2">
        <f>($I74-Data!$M74)</f>
        <v>0.33333333333333331</v>
      </c>
      <c r="V74" s="2">
        <f>($J74-Data!$N74)*Data!I74</f>
        <v>-0.44444444444444448</v>
      </c>
      <c r="W74" s="2">
        <f>($J74-Data!$N74)*Data!J74</f>
        <v>-0.30555555555555558</v>
      </c>
      <c r="X74" s="2">
        <f>($J74-Data!$N74)*Data!K74</f>
        <v>-0.38418079096045205</v>
      </c>
      <c r="Y74" s="2">
        <f>($J74-Data!$N74)*Data!L74</f>
        <v>-0.3611111111111111</v>
      </c>
      <c r="Z74" s="2">
        <f>($J74-Data!$N74)</f>
        <v>-0.66666666666666674</v>
      </c>
      <c r="AA74" s="2">
        <f>($K74-Data!$O74)*Data!I74</f>
        <v>0.22222222222222221</v>
      </c>
      <c r="AB74" s="2">
        <f>($K74-Data!$O74)*Data!J74</f>
        <v>0.15277777777777776</v>
      </c>
      <c r="AC74" s="2">
        <f>($K74-Data!$O74)*Data!K74</f>
        <v>0.19209039548022599</v>
      </c>
      <c r="AD74" s="2">
        <f>($K74-Data!$O74)*Data!L74</f>
        <v>0.18055555555555552</v>
      </c>
      <c r="AE74" s="2">
        <f>($K74-Data!$O74)</f>
        <v>0.33333333333333331</v>
      </c>
    </row>
    <row r="75" spans="2:31" x14ac:dyDescent="0.25">
      <c r="B75" s="2">
        <f>B$2*Data!$I75+B$3*Data!$J75+B$4*Data!$K75+B$5*Data!$L75+B$6</f>
        <v>0.2954331450094162</v>
      </c>
      <c r="C75" s="2">
        <f>C$2*Data!$I75+C$3*Data!$J75+C$4*Data!$K75+C$5*Data!$L75+C$6</f>
        <v>0.2954331450094162</v>
      </c>
      <c r="D75" s="2">
        <f>D$2*Data!$I75+D$3*Data!$J75+D$4*Data!$K75+D$5*Data!$L75+D$6</f>
        <v>0.2954331450094162</v>
      </c>
      <c r="E75" s="2">
        <f>EXP(B75)</f>
        <v>1.3437082531788072</v>
      </c>
      <c r="F75" s="2">
        <f>EXP(C75)</f>
        <v>1.3437082531788072</v>
      </c>
      <c r="G75" s="2">
        <f>EXP(D75)</f>
        <v>1.3437082531788072</v>
      </c>
      <c r="H75" s="2">
        <f>SUM(E75:G75)</f>
        <v>4.0311247595364215</v>
      </c>
      <c r="I75" s="2">
        <f>E75/$H75</f>
        <v>0.33333333333333331</v>
      </c>
      <c r="J75" s="2">
        <f>F75/$H75</f>
        <v>0.33333333333333331</v>
      </c>
      <c r="K75" s="2">
        <f>G75/$H75</f>
        <v>0.33333333333333331</v>
      </c>
      <c r="L75" s="2">
        <f>-Data!M75*LOG(I75)</f>
        <v>0</v>
      </c>
      <c r="M75" s="2">
        <f>-Data!N75*LOG(J75)</f>
        <v>0.47712125471966244</v>
      </c>
      <c r="N75" s="2">
        <f>-Data!O75*LOG(K75)</f>
        <v>0</v>
      </c>
      <c r="O75" s="2">
        <f>SUM(L75:N75)</f>
        <v>0.47712125471966244</v>
      </c>
      <c r="P75" s="2"/>
      <c r="Q75" s="2">
        <f>(I75-Data!M75)*Data!I75</f>
        <v>0.12037037037037032</v>
      </c>
      <c r="R75" s="2">
        <f>($I75-Data!$M75)*Data!J75</f>
        <v>0.13888888888888887</v>
      </c>
      <c r="S75" s="2">
        <f>($I75-Data!$M75)*Data!K75</f>
        <v>0.19774011299435026</v>
      </c>
      <c r="T75" s="2">
        <f>($I75-Data!$M75)*Data!L75</f>
        <v>0.19444444444444445</v>
      </c>
      <c r="U75" s="2">
        <f>($I75-Data!$M75)</f>
        <v>0.33333333333333331</v>
      </c>
      <c r="V75" s="2">
        <f>($J75-Data!$N75)*Data!I75</f>
        <v>-0.2407407407407407</v>
      </c>
      <c r="W75" s="2">
        <f>($J75-Data!$N75)*Data!J75</f>
        <v>-0.27777777777777779</v>
      </c>
      <c r="X75" s="2">
        <f>($J75-Data!$N75)*Data!K75</f>
        <v>-0.39548022598870058</v>
      </c>
      <c r="Y75" s="2">
        <f>($J75-Data!$N75)*Data!L75</f>
        <v>-0.38888888888888895</v>
      </c>
      <c r="Z75" s="2">
        <f>($J75-Data!$N75)</f>
        <v>-0.66666666666666674</v>
      </c>
      <c r="AA75" s="2">
        <f>($K75-Data!$O75)*Data!I75</f>
        <v>0.12037037037037032</v>
      </c>
      <c r="AB75" s="2">
        <f>($K75-Data!$O75)*Data!J75</f>
        <v>0.13888888888888887</v>
      </c>
      <c r="AC75" s="2">
        <f>($K75-Data!$O75)*Data!K75</f>
        <v>0.19774011299435026</v>
      </c>
      <c r="AD75" s="2">
        <f>($K75-Data!$O75)*Data!L75</f>
        <v>0.19444444444444445</v>
      </c>
      <c r="AE75" s="2">
        <f>($K75-Data!$O75)</f>
        <v>0.33333333333333331</v>
      </c>
    </row>
    <row r="76" spans="2:31" x14ac:dyDescent="0.25">
      <c r="B76" s="2">
        <f>B$2*Data!$I76+B$3*Data!$J76+B$4*Data!$K76+B$5*Data!$L76+B$6</f>
        <v>0.26087570621468925</v>
      </c>
      <c r="C76" s="2">
        <f>C$2*Data!$I76+C$3*Data!$J76+C$4*Data!$K76+C$5*Data!$L76+C$6</f>
        <v>0.26087570621468925</v>
      </c>
      <c r="D76" s="2">
        <f>D$2*Data!$I76+D$3*Data!$J76+D$4*Data!$K76+D$5*Data!$L76+D$6</f>
        <v>0.26087570621468925</v>
      </c>
      <c r="E76" s="2">
        <f>EXP(B76)</f>
        <v>1.2980663138306665</v>
      </c>
      <c r="F76" s="2">
        <f>EXP(C76)</f>
        <v>1.2980663138306665</v>
      </c>
      <c r="G76" s="2">
        <f>EXP(D76)</f>
        <v>1.2980663138306665</v>
      </c>
      <c r="H76" s="2">
        <f>SUM(E76:G76)</f>
        <v>3.8941989414919993</v>
      </c>
      <c r="I76" s="2">
        <f>E76/$H76</f>
        <v>0.33333333333333337</v>
      </c>
      <c r="J76" s="2">
        <f>F76/$H76</f>
        <v>0.33333333333333337</v>
      </c>
      <c r="K76" s="2">
        <f>G76/$H76</f>
        <v>0.33333333333333337</v>
      </c>
      <c r="L76" s="2">
        <f>-Data!M76*LOG(I76)</f>
        <v>0</v>
      </c>
      <c r="M76" s="2">
        <f>-Data!N76*LOG(J76)</f>
        <v>0.47712125471966238</v>
      </c>
      <c r="N76" s="2">
        <f>-Data!O76*LOG(K76)</f>
        <v>0</v>
      </c>
      <c r="O76" s="2">
        <f>SUM(L76:N76)</f>
        <v>0.47712125471966238</v>
      </c>
      <c r="P76" s="2"/>
      <c r="Q76" s="2">
        <f>(I76-Data!M76)*Data!I76</f>
        <v>0.1388888888888889</v>
      </c>
      <c r="R76" s="2">
        <f>($I76-Data!$M76)*Data!J76</f>
        <v>9.7222222222222238E-2</v>
      </c>
      <c r="S76" s="2">
        <f>($I76-Data!$M76)*Data!K76</f>
        <v>0.1751412429378531</v>
      </c>
      <c r="T76" s="2">
        <f>($I76-Data!$M76)*Data!L76</f>
        <v>0.125</v>
      </c>
      <c r="U76" s="2">
        <f>($I76-Data!$M76)</f>
        <v>0.33333333333333337</v>
      </c>
      <c r="V76" s="2">
        <f>($J76-Data!$N76)*Data!I76</f>
        <v>-0.27777777777777773</v>
      </c>
      <c r="W76" s="2">
        <f>($J76-Data!$N76)*Data!J76</f>
        <v>-0.19444444444444445</v>
      </c>
      <c r="X76" s="2">
        <f>($J76-Data!$N76)*Data!K76</f>
        <v>-0.35028248587570615</v>
      </c>
      <c r="Y76" s="2">
        <f>($J76-Data!$N76)*Data!L76</f>
        <v>-0.25</v>
      </c>
      <c r="Z76" s="2">
        <f>($J76-Data!$N76)</f>
        <v>-0.66666666666666663</v>
      </c>
      <c r="AA76" s="2">
        <f>($K76-Data!$O76)*Data!I76</f>
        <v>0.1388888888888889</v>
      </c>
      <c r="AB76" s="2">
        <f>($K76-Data!$O76)*Data!J76</f>
        <v>9.7222222222222238E-2</v>
      </c>
      <c r="AC76" s="2">
        <f>($K76-Data!$O76)*Data!K76</f>
        <v>0.1751412429378531</v>
      </c>
      <c r="AD76" s="2">
        <f>($K76-Data!$O76)*Data!L76</f>
        <v>0.125</v>
      </c>
      <c r="AE76" s="2">
        <f>($K76-Data!$O76)</f>
        <v>0.33333333333333337</v>
      </c>
    </row>
    <row r="77" spans="2:31" x14ac:dyDescent="0.25">
      <c r="B77" s="2">
        <f>B$2*Data!$I77+B$3*Data!$J77+B$4*Data!$K77+B$5*Data!$L77+B$6</f>
        <v>0.27876647834274959</v>
      </c>
      <c r="C77" s="2">
        <f>C$2*Data!$I77+C$3*Data!$J77+C$4*Data!$K77+C$5*Data!$L77+C$6</f>
        <v>0.27876647834274959</v>
      </c>
      <c r="D77" s="2">
        <f>D$2*Data!$I77+D$3*Data!$J77+D$4*Data!$K77+D$5*Data!$L77+D$6</f>
        <v>0.27876647834274959</v>
      </c>
      <c r="E77" s="2">
        <f>EXP(B77)</f>
        <v>1.3214987092658677</v>
      </c>
      <c r="F77" s="2">
        <f>EXP(C77)</f>
        <v>1.3214987092658677</v>
      </c>
      <c r="G77" s="2">
        <f>EXP(D77)</f>
        <v>1.3214987092658677</v>
      </c>
      <c r="H77" s="2">
        <f>SUM(E77:G77)</f>
        <v>3.9644961277976032</v>
      </c>
      <c r="I77" s="2">
        <f>E77/$H77</f>
        <v>0.33333333333333331</v>
      </c>
      <c r="J77" s="2">
        <f>F77/$H77</f>
        <v>0.33333333333333331</v>
      </c>
      <c r="K77" s="2">
        <f>G77/$H77</f>
        <v>0.33333333333333331</v>
      </c>
      <c r="L77" s="2">
        <f>-Data!M77*LOG(I77)</f>
        <v>0</v>
      </c>
      <c r="M77" s="2">
        <f>-Data!N77*LOG(J77)</f>
        <v>0.47712125471966244</v>
      </c>
      <c r="N77" s="2">
        <f>-Data!O77*LOG(K77)</f>
        <v>0</v>
      </c>
      <c r="O77" s="2">
        <f>SUM(L77:N77)</f>
        <v>0.47712125471966244</v>
      </c>
      <c r="P77" s="2"/>
      <c r="Q77" s="2">
        <f>(I77-Data!M77)*Data!I77</f>
        <v>0.17592592592592593</v>
      </c>
      <c r="R77" s="2">
        <f>($I77-Data!$M77)*Data!J77</f>
        <v>2.7777777777777797E-2</v>
      </c>
      <c r="S77" s="2">
        <f>($I77-Data!$M77)*Data!K77</f>
        <v>0.19774011299435026</v>
      </c>
      <c r="T77" s="2">
        <f>($I77-Data!$M77)*Data!L77</f>
        <v>0.19444444444444445</v>
      </c>
      <c r="U77" s="2">
        <f>($I77-Data!$M77)</f>
        <v>0.33333333333333331</v>
      </c>
      <c r="V77" s="2">
        <f>($J77-Data!$N77)*Data!I77</f>
        <v>-0.35185185185185192</v>
      </c>
      <c r="W77" s="2">
        <f>($J77-Data!$N77)*Data!J77</f>
        <v>-5.5555555555555608E-2</v>
      </c>
      <c r="X77" s="2">
        <f>($J77-Data!$N77)*Data!K77</f>
        <v>-0.39548022598870058</v>
      </c>
      <c r="Y77" s="2">
        <f>($J77-Data!$N77)*Data!L77</f>
        <v>-0.38888888888888895</v>
      </c>
      <c r="Z77" s="2">
        <f>($J77-Data!$N77)</f>
        <v>-0.66666666666666674</v>
      </c>
      <c r="AA77" s="2">
        <f>($K77-Data!$O77)*Data!I77</f>
        <v>0.17592592592592593</v>
      </c>
      <c r="AB77" s="2">
        <f>($K77-Data!$O77)*Data!J77</f>
        <v>2.7777777777777797E-2</v>
      </c>
      <c r="AC77" s="2">
        <f>($K77-Data!$O77)*Data!K77</f>
        <v>0.19774011299435026</v>
      </c>
      <c r="AD77" s="2">
        <f>($K77-Data!$O77)*Data!L77</f>
        <v>0.19444444444444445</v>
      </c>
      <c r="AE77" s="2">
        <f>($K77-Data!$O77)</f>
        <v>0.33333333333333331</v>
      </c>
    </row>
    <row r="78" spans="2:31" x14ac:dyDescent="0.25">
      <c r="B78" s="2">
        <f>B$2*Data!$I78+B$3*Data!$J78+B$4*Data!$K78+B$5*Data!$L78+B$6</f>
        <v>0.24776365348399246</v>
      </c>
      <c r="C78" s="2">
        <f>C$2*Data!$I78+C$3*Data!$J78+C$4*Data!$K78+C$5*Data!$L78+C$6</f>
        <v>0.24776365348399246</v>
      </c>
      <c r="D78" s="2">
        <f>D$2*Data!$I78+D$3*Data!$J78+D$4*Data!$K78+D$5*Data!$L78+D$6</f>
        <v>0.24776365348399246</v>
      </c>
      <c r="E78" s="2">
        <f>EXP(B78)</f>
        <v>1.2811570993917925</v>
      </c>
      <c r="F78" s="2">
        <f>EXP(C78)</f>
        <v>1.2811570993917925</v>
      </c>
      <c r="G78" s="2">
        <f>EXP(D78)</f>
        <v>1.2811570993917925</v>
      </c>
      <c r="H78" s="2">
        <f>SUM(E78:G78)</f>
        <v>3.8434712981753774</v>
      </c>
      <c r="I78" s="2">
        <f>E78/$H78</f>
        <v>0.33333333333333331</v>
      </c>
      <c r="J78" s="2">
        <f>F78/$H78</f>
        <v>0.33333333333333331</v>
      </c>
      <c r="K78" s="2">
        <f>G78/$H78</f>
        <v>0.33333333333333331</v>
      </c>
      <c r="L78" s="2">
        <f>-Data!M78*LOG(I78)</f>
        <v>0</v>
      </c>
      <c r="M78" s="2">
        <f>-Data!N78*LOG(J78)</f>
        <v>0.47712125471966244</v>
      </c>
      <c r="N78" s="2">
        <f>-Data!O78*LOG(K78)</f>
        <v>0</v>
      </c>
      <c r="O78" s="2">
        <f>SUM(L78:N78)</f>
        <v>0.47712125471966244</v>
      </c>
      <c r="P78" s="2"/>
      <c r="Q78" s="2">
        <f>(I78-Data!M78)*Data!I78</f>
        <v>0.12037037037037032</v>
      </c>
      <c r="R78" s="2">
        <f>($I78-Data!$M78)*Data!J78</f>
        <v>6.9444444444444434E-2</v>
      </c>
      <c r="S78" s="2">
        <f>($I78-Data!$M78)*Data!K78</f>
        <v>0.16384180790960451</v>
      </c>
      <c r="T78" s="2">
        <f>($I78-Data!$M78)*Data!L78</f>
        <v>0.1388888888888889</v>
      </c>
      <c r="U78" s="2">
        <f>($I78-Data!$M78)</f>
        <v>0.33333333333333331</v>
      </c>
      <c r="V78" s="2">
        <f>($J78-Data!$N78)*Data!I78</f>
        <v>-0.2407407407407407</v>
      </c>
      <c r="W78" s="2">
        <f>($J78-Data!$N78)*Data!J78</f>
        <v>-0.1388888888888889</v>
      </c>
      <c r="X78" s="2">
        <f>($J78-Data!$N78)*Data!K78</f>
        <v>-0.32768361581920907</v>
      </c>
      <c r="Y78" s="2">
        <f>($J78-Data!$N78)*Data!L78</f>
        <v>-0.27777777777777785</v>
      </c>
      <c r="Z78" s="2">
        <f>($J78-Data!$N78)</f>
        <v>-0.66666666666666674</v>
      </c>
      <c r="AA78" s="2">
        <f>($K78-Data!$O78)*Data!I78</f>
        <v>0.12037037037037032</v>
      </c>
      <c r="AB78" s="2">
        <f>($K78-Data!$O78)*Data!J78</f>
        <v>6.9444444444444434E-2</v>
      </c>
      <c r="AC78" s="2">
        <f>($K78-Data!$O78)*Data!K78</f>
        <v>0.16384180790960451</v>
      </c>
      <c r="AD78" s="2">
        <f>($K78-Data!$O78)*Data!L78</f>
        <v>0.1388888888888889</v>
      </c>
      <c r="AE78" s="2">
        <f>($K78-Data!$O78)</f>
        <v>0.33333333333333331</v>
      </c>
    </row>
    <row r="79" spans="2:31" x14ac:dyDescent="0.25">
      <c r="B79" s="2">
        <f>B$2*Data!$I79+B$3*Data!$J79+B$4*Data!$K79+B$5*Data!$L79+B$6</f>
        <v>0.32968455743879477</v>
      </c>
      <c r="C79" s="2">
        <f>C$2*Data!$I79+C$3*Data!$J79+C$4*Data!$K79+C$5*Data!$L79+C$6</f>
        <v>0.32968455743879477</v>
      </c>
      <c r="D79" s="2">
        <f>D$2*Data!$I79+D$3*Data!$J79+D$4*Data!$K79+D$5*Data!$L79+D$6</f>
        <v>0.32968455743879477</v>
      </c>
      <c r="E79" s="2">
        <f>EXP(B79)</f>
        <v>1.3905294271109596</v>
      </c>
      <c r="F79" s="2">
        <f>EXP(C79)</f>
        <v>1.3905294271109596</v>
      </c>
      <c r="G79" s="2">
        <f>EXP(D79)</f>
        <v>1.3905294271109596</v>
      </c>
      <c r="H79" s="2">
        <f>SUM(E79:G79)</f>
        <v>4.1715882813328786</v>
      </c>
      <c r="I79" s="2">
        <f>E79/$H79</f>
        <v>0.33333333333333337</v>
      </c>
      <c r="J79" s="2">
        <f>F79/$H79</f>
        <v>0.33333333333333337</v>
      </c>
      <c r="K79" s="2">
        <f>G79/$H79</f>
        <v>0.33333333333333337</v>
      </c>
      <c r="L79" s="2">
        <f>-Data!M79*LOG(I79)</f>
        <v>0</v>
      </c>
      <c r="M79" s="2">
        <f>-Data!N79*LOG(J79)</f>
        <v>0.47712125471966238</v>
      </c>
      <c r="N79" s="2">
        <f>-Data!O79*LOG(K79)</f>
        <v>0</v>
      </c>
      <c r="O79" s="2">
        <f>SUM(L79:N79)</f>
        <v>0.47712125471966238</v>
      </c>
      <c r="P79" s="2"/>
      <c r="Q79" s="2">
        <f>(I79-Data!M79)*Data!I79</f>
        <v>0.1481481481481482</v>
      </c>
      <c r="R79" s="2">
        <f>($I79-Data!$M79)*Data!J79</f>
        <v>0.16666666666666669</v>
      </c>
      <c r="S79" s="2">
        <f>($I79-Data!$M79)*Data!K79</f>
        <v>0.21468926553672318</v>
      </c>
      <c r="T79" s="2">
        <f>($I79-Data!$M79)*Data!L79</f>
        <v>0.23611111111111116</v>
      </c>
      <c r="U79" s="2">
        <f>($I79-Data!$M79)</f>
        <v>0.33333333333333337</v>
      </c>
      <c r="V79" s="2">
        <f>($J79-Data!$N79)*Data!I79</f>
        <v>-0.29629629629629634</v>
      </c>
      <c r="W79" s="2">
        <f>($J79-Data!$N79)*Data!J79</f>
        <v>-0.33333333333333331</v>
      </c>
      <c r="X79" s="2">
        <f>($J79-Data!$N79)*Data!K79</f>
        <v>-0.42937853107344626</v>
      </c>
      <c r="Y79" s="2">
        <f>($J79-Data!$N79)*Data!L79</f>
        <v>-0.47222222222222221</v>
      </c>
      <c r="Z79" s="2">
        <f>($J79-Data!$N79)</f>
        <v>-0.66666666666666663</v>
      </c>
      <c r="AA79" s="2">
        <f>($K79-Data!$O79)*Data!I79</f>
        <v>0.1481481481481482</v>
      </c>
      <c r="AB79" s="2">
        <f>($K79-Data!$O79)*Data!J79</f>
        <v>0.16666666666666669</v>
      </c>
      <c r="AC79" s="2">
        <f>($K79-Data!$O79)*Data!K79</f>
        <v>0.21468926553672318</v>
      </c>
      <c r="AD79" s="2">
        <f>($K79-Data!$O79)*Data!L79</f>
        <v>0.23611111111111116</v>
      </c>
      <c r="AE79" s="2">
        <f>($K79-Data!$O79)</f>
        <v>0.33333333333333337</v>
      </c>
    </row>
    <row r="80" spans="2:31" x14ac:dyDescent="0.25">
      <c r="B80" s="2">
        <f>B$2*Data!$I80+B$3*Data!$J80+B$4*Data!$K80+B$5*Data!$L80+B$6</f>
        <v>0.28418079096045201</v>
      </c>
      <c r="C80" s="2">
        <f>C$2*Data!$I80+C$3*Data!$J80+C$4*Data!$K80+C$5*Data!$L80+C$6</f>
        <v>0.28418079096045201</v>
      </c>
      <c r="D80" s="2">
        <f>D$2*Data!$I80+D$3*Data!$J80+D$4*Data!$K80+D$5*Data!$L80+D$6</f>
        <v>0.28418079096045201</v>
      </c>
      <c r="E80" s="2">
        <f>EXP(B80)</f>
        <v>1.3286731211297118</v>
      </c>
      <c r="F80" s="2">
        <f>EXP(C80)</f>
        <v>1.3286731211297118</v>
      </c>
      <c r="G80" s="2">
        <f>EXP(D80)</f>
        <v>1.3286731211297118</v>
      </c>
      <c r="H80" s="2">
        <f>SUM(E80:G80)</f>
        <v>3.9860193633891354</v>
      </c>
      <c r="I80" s="2">
        <f>E80/$H80</f>
        <v>0.33333333333333331</v>
      </c>
      <c r="J80" s="2">
        <f>F80/$H80</f>
        <v>0.33333333333333331</v>
      </c>
      <c r="K80" s="2">
        <f>G80/$H80</f>
        <v>0.33333333333333331</v>
      </c>
      <c r="L80" s="2">
        <f>-Data!M80*LOG(I80)</f>
        <v>0</v>
      </c>
      <c r="M80" s="2">
        <f>-Data!N80*LOG(J80)</f>
        <v>0.47712125471966244</v>
      </c>
      <c r="N80" s="2">
        <f>-Data!O80*LOG(K80)</f>
        <v>0</v>
      </c>
      <c r="O80" s="2">
        <f>SUM(L80:N80)</f>
        <v>0.47712125471966244</v>
      </c>
      <c r="P80" s="2"/>
      <c r="Q80" s="2">
        <f>(I80-Data!M80)*Data!I80</f>
        <v>0.16666666666666663</v>
      </c>
      <c r="R80" s="2">
        <f>($I80-Data!$M80)*Data!J80</f>
        <v>0.11111111111111106</v>
      </c>
      <c r="S80" s="2">
        <f>($I80-Data!$M80)*Data!K80</f>
        <v>0.16949152542372881</v>
      </c>
      <c r="T80" s="2">
        <f>($I80-Data!$M80)*Data!L80</f>
        <v>0.16666666666666666</v>
      </c>
      <c r="U80" s="2">
        <f>($I80-Data!$M80)</f>
        <v>0.33333333333333331</v>
      </c>
      <c r="V80" s="2">
        <f>($J80-Data!$N80)*Data!I80</f>
        <v>-0.33333333333333331</v>
      </c>
      <c r="W80" s="2">
        <f>($J80-Data!$N80)*Data!J80</f>
        <v>-0.22222222222222215</v>
      </c>
      <c r="X80" s="2">
        <f>($J80-Data!$N80)*Data!K80</f>
        <v>-0.33898305084745767</v>
      </c>
      <c r="Y80" s="2">
        <f>($J80-Data!$N80)*Data!L80</f>
        <v>-0.33333333333333337</v>
      </c>
      <c r="Z80" s="2">
        <f>($J80-Data!$N80)</f>
        <v>-0.66666666666666674</v>
      </c>
      <c r="AA80" s="2">
        <f>($K80-Data!$O80)*Data!I80</f>
        <v>0.16666666666666663</v>
      </c>
      <c r="AB80" s="2">
        <f>($K80-Data!$O80)*Data!J80</f>
        <v>0.11111111111111106</v>
      </c>
      <c r="AC80" s="2">
        <f>($K80-Data!$O80)*Data!K80</f>
        <v>0.16949152542372881</v>
      </c>
      <c r="AD80" s="2">
        <f>($K80-Data!$O80)*Data!L80</f>
        <v>0.16666666666666666</v>
      </c>
      <c r="AE80" s="2">
        <f>($K80-Data!$O80)</f>
        <v>0.33333333333333331</v>
      </c>
    </row>
    <row r="81" spans="2:31" x14ac:dyDescent="0.25">
      <c r="B81" s="2">
        <f>B$2*Data!$I81+B$3*Data!$J81+B$4*Data!$K81+B$5*Data!$L81+B$6</f>
        <v>0.30082391713747647</v>
      </c>
      <c r="C81" s="2">
        <f>C$2*Data!$I81+C$3*Data!$J81+C$4*Data!$K81+C$5*Data!$L81+C$6</f>
        <v>0.30082391713747647</v>
      </c>
      <c r="D81" s="2">
        <f>D$2*Data!$I81+D$3*Data!$J81+D$4*Data!$K81+D$5*Data!$L81+D$6</f>
        <v>0.30082391713747647</v>
      </c>
      <c r="E81" s="2">
        <f>EXP(B81)</f>
        <v>1.3509714376753004</v>
      </c>
      <c r="F81" s="2">
        <f>EXP(C81)</f>
        <v>1.3509714376753004</v>
      </c>
      <c r="G81" s="2">
        <f>EXP(D81)</f>
        <v>1.3509714376753004</v>
      </c>
      <c r="H81" s="2">
        <f>SUM(E81:G81)</f>
        <v>4.0529143130259015</v>
      </c>
      <c r="I81" s="2">
        <f>E81/$H81</f>
        <v>0.33333333333333331</v>
      </c>
      <c r="J81" s="2">
        <f>F81/$H81</f>
        <v>0.33333333333333331</v>
      </c>
      <c r="K81" s="2">
        <f>G81/$H81</f>
        <v>0.33333333333333331</v>
      </c>
      <c r="L81" s="2">
        <f>-Data!M81*LOG(I81)</f>
        <v>0</v>
      </c>
      <c r="M81" s="2">
        <f>-Data!N81*LOG(J81)</f>
        <v>0.47712125471966244</v>
      </c>
      <c r="N81" s="2">
        <f>-Data!O81*LOG(K81)</f>
        <v>0</v>
      </c>
      <c r="O81" s="2">
        <f>SUM(L81:N81)</f>
        <v>0.47712125471966244</v>
      </c>
      <c r="P81" s="2"/>
      <c r="Q81" s="2">
        <f>(I81-Data!M81)*Data!I81</f>
        <v>0.18518518518518515</v>
      </c>
      <c r="R81" s="2">
        <f>($I81-Data!$M81)*Data!J81</f>
        <v>6.9444444444444434E-2</v>
      </c>
      <c r="S81" s="2">
        <f>($I81-Data!$M81)*Data!K81</f>
        <v>0.22033898305084745</v>
      </c>
      <c r="T81" s="2">
        <f>($I81-Data!$M81)*Data!L81</f>
        <v>0.19444444444444445</v>
      </c>
      <c r="U81" s="2">
        <f>($I81-Data!$M81)</f>
        <v>0.33333333333333331</v>
      </c>
      <c r="V81" s="2">
        <f>($J81-Data!$N81)*Data!I81</f>
        <v>-0.37037037037037035</v>
      </c>
      <c r="W81" s="2">
        <f>($J81-Data!$N81)*Data!J81</f>
        <v>-0.1388888888888889</v>
      </c>
      <c r="X81" s="2">
        <f>($J81-Data!$N81)*Data!K81</f>
        <v>-0.44067796610169496</v>
      </c>
      <c r="Y81" s="2">
        <f>($J81-Data!$N81)*Data!L81</f>
        <v>-0.38888888888888895</v>
      </c>
      <c r="Z81" s="2">
        <f>($J81-Data!$N81)</f>
        <v>-0.66666666666666674</v>
      </c>
      <c r="AA81" s="2">
        <f>($K81-Data!$O81)*Data!I81</f>
        <v>0.18518518518518515</v>
      </c>
      <c r="AB81" s="2">
        <f>($K81-Data!$O81)*Data!J81</f>
        <v>6.9444444444444434E-2</v>
      </c>
      <c r="AC81" s="2">
        <f>($K81-Data!$O81)*Data!K81</f>
        <v>0.22033898305084745</v>
      </c>
      <c r="AD81" s="2">
        <f>($K81-Data!$O81)*Data!L81</f>
        <v>0.19444444444444445</v>
      </c>
      <c r="AE81" s="2">
        <f>($K81-Data!$O81)</f>
        <v>0.33333333333333331</v>
      </c>
    </row>
    <row r="82" spans="2:31" x14ac:dyDescent="0.25">
      <c r="B82" s="2">
        <f>B$2*Data!$I82+B$3*Data!$J82+B$4*Data!$K82+B$5*Data!$L82+B$6</f>
        <v>0.2918785310734463</v>
      </c>
      <c r="C82" s="2">
        <f>C$2*Data!$I82+C$3*Data!$J82+C$4*Data!$K82+C$5*Data!$L82+C$6</f>
        <v>0.2918785310734463</v>
      </c>
      <c r="D82" s="2">
        <f>D$2*Data!$I82+D$3*Data!$J82+D$4*Data!$K82+D$5*Data!$L82+D$6</f>
        <v>0.2918785310734463</v>
      </c>
      <c r="E82" s="2">
        <f>EXP(B82)</f>
        <v>1.3389403681118279</v>
      </c>
      <c r="F82" s="2">
        <f>EXP(C82)</f>
        <v>1.3389403681118279</v>
      </c>
      <c r="G82" s="2">
        <f>EXP(D82)</f>
        <v>1.3389403681118279</v>
      </c>
      <c r="H82" s="2">
        <f>SUM(E82:G82)</f>
        <v>4.0168211043354836</v>
      </c>
      <c r="I82" s="2">
        <f>E82/$H82</f>
        <v>0.33333333333333337</v>
      </c>
      <c r="J82" s="2">
        <f>F82/$H82</f>
        <v>0.33333333333333337</v>
      </c>
      <c r="K82" s="2">
        <f>G82/$H82</f>
        <v>0.33333333333333337</v>
      </c>
      <c r="L82" s="2">
        <f>-Data!M82*LOG(I82)</f>
        <v>0</v>
      </c>
      <c r="M82" s="2">
        <f>-Data!N82*LOG(J82)</f>
        <v>0.47712125471966238</v>
      </c>
      <c r="N82" s="2">
        <f>-Data!O82*LOG(K82)</f>
        <v>0</v>
      </c>
      <c r="O82" s="2">
        <f>SUM(L82:N82)</f>
        <v>0.47712125471966238</v>
      </c>
      <c r="P82" s="2"/>
      <c r="Q82" s="2">
        <f>(I82-Data!M82)*Data!I82</f>
        <v>0.16666666666666666</v>
      </c>
      <c r="R82" s="2">
        <f>($I82-Data!$M82)*Data!J82</f>
        <v>0.11111111111111108</v>
      </c>
      <c r="S82" s="2">
        <f>($I82-Data!$M82)*Data!K82</f>
        <v>0.20903954802259889</v>
      </c>
      <c r="T82" s="2">
        <f>($I82-Data!$M82)*Data!L82</f>
        <v>0.15277777777777779</v>
      </c>
      <c r="U82" s="2">
        <f>($I82-Data!$M82)</f>
        <v>0.33333333333333337</v>
      </c>
      <c r="V82" s="2">
        <f>($J82-Data!$N82)*Data!I82</f>
        <v>-0.33333333333333326</v>
      </c>
      <c r="W82" s="2">
        <f>($J82-Data!$N82)*Data!J82</f>
        <v>-0.22222222222222213</v>
      </c>
      <c r="X82" s="2">
        <f>($J82-Data!$N82)*Data!K82</f>
        <v>-0.41807909604519772</v>
      </c>
      <c r="Y82" s="2">
        <f>($J82-Data!$N82)*Data!L82</f>
        <v>-0.30555555555555552</v>
      </c>
      <c r="Z82" s="2">
        <f>($J82-Data!$N82)</f>
        <v>-0.66666666666666663</v>
      </c>
      <c r="AA82" s="2">
        <f>($K82-Data!$O82)*Data!I82</f>
        <v>0.16666666666666666</v>
      </c>
      <c r="AB82" s="2">
        <f>($K82-Data!$O82)*Data!J82</f>
        <v>0.11111111111111108</v>
      </c>
      <c r="AC82" s="2">
        <f>($K82-Data!$O82)*Data!K82</f>
        <v>0.20903954802259889</v>
      </c>
      <c r="AD82" s="2">
        <f>($K82-Data!$O82)*Data!L82</f>
        <v>0.15277777777777779</v>
      </c>
      <c r="AE82" s="2">
        <f>($K82-Data!$O82)</f>
        <v>0.33333333333333337</v>
      </c>
    </row>
    <row r="83" spans="2:31" x14ac:dyDescent="0.25">
      <c r="B83" s="2">
        <f>B$2*Data!$I83+B$3*Data!$J83+B$4*Data!$K83+B$5*Data!$L83+B$6</f>
        <v>0.30176553672316386</v>
      </c>
      <c r="C83" s="2">
        <f>C$2*Data!$I83+C$3*Data!$J83+C$4*Data!$K83+C$5*Data!$L83+C$6</f>
        <v>0.30176553672316386</v>
      </c>
      <c r="D83" s="2">
        <f>D$2*Data!$I83+D$3*Data!$J83+D$4*Data!$K83+D$5*Data!$L83+D$6</f>
        <v>0.30176553672316386</v>
      </c>
      <c r="E83" s="2">
        <f>EXP(B83)</f>
        <v>1.3522441379464343</v>
      </c>
      <c r="F83" s="2">
        <f>EXP(C83)</f>
        <v>1.3522441379464343</v>
      </c>
      <c r="G83" s="2">
        <f>EXP(D83)</f>
        <v>1.3522441379464343</v>
      </c>
      <c r="H83" s="2">
        <f>SUM(E83:G83)</f>
        <v>4.0567324138393026</v>
      </c>
      <c r="I83" s="2">
        <f>E83/$H83</f>
        <v>0.33333333333333337</v>
      </c>
      <c r="J83" s="2">
        <f>F83/$H83</f>
        <v>0.33333333333333337</v>
      </c>
      <c r="K83" s="2">
        <f>G83/$H83</f>
        <v>0.33333333333333337</v>
      </c>
      <c r="L83" s="2">
        <f>-Data!M83*LOG(I83)</f>
        <v>0</v>
      </c>
      <c r="M83" s="2">
        <f>-Data!N83*LOG(J83)</f>
        <v>0.47712125471966238</v>
      </c>
      <c r="N83" s="2">
        <f>-Data!O83*LOG(K83)</f>
        <v>0</v>
      </c>
      <c r="O83" s="2">
        <f>SUM(L83:N83)</f>
        <v>0.47712125471966238</v>
      </c>
      <c r="P83" s="2"/>
      <c r="Q83" s="2">
        <f>(I83-Data!M83)*Data!I83</f>
        <v>0.19444444444444448</v>
      </c>
      <c r="R83" s="2">
        <f>($I83-Data!$M83)*Data!J83</f>
        <v>0.12499999999999997</v>
      </c>
      <c r="S83" s="2">
        <f>($I83-Data!$M83)*Data!K83</f>
        <v>0.1864406779661017</v>
      </c>
      <c r="T83" s="2">
        <f>($I83-Data!$M83)*Data!L83</f>
        <v>0.16666666666666669</v>
      </c>
      <c r="U83" s="2">
        <f>($I83-Data!$M83)</f>
        <v>0.33333333333333337</v>
      </c>
      <c r="V83" s="2">
        <f>($J83-Data!$N83)*Data!I83</f>
        <v>-0.3888888888888889</v>
      </c>
      <c r="W83" s="2">
        <f>($J83-Data!$N83)*Data!J83</f>
        <v>-0.24999999999999992</v>
      </c>
      <c r="X83" s="2">
        <f>($J83-Data!$N83)*Data!K83</f>
        <v>-0.37288135593220334</v>
      </c>
      <c r="Y83" s="2">
        <f>($J83-Data!$N83)*Data!L83</f>
        <v>-0.33333333333333331</v>
      </c>
      <c r="Z83" s="2">
        <f>($J83-Data!$N83)</f>
        <v>-0.66666666666666663</v>
      </c>
      <c r="AA83" s="2">
        <f>($K83-Data!$O83)*Data!I83</f>
        <v>0.19444444444444448</v>
      </c>
      <c r="AB83" s="2">
        <f>($K83-Data!$O83)*Data!J83</f>
        <v>0.12499999999999997</v>
      </c>
      <c r="AC83" s="2">
        <f>($K83-Data!$O83)*Data!K83</f>
        <v>0.1864406779661017</v>
      </c>
      <c r="AD83" s="2">
        <f>($K83-Data!$O83)*Data!L83</f>
        <v>0.16666666666666669</v>
      </c>
      <c r="AE83" s="2">
        <f>($K83-Data!$O83)</f>
        <v>0.33333333333333337</v>
      </c>
    </row>
    <row r="84" spans="2:31" x14ac:dyDescent="0.25">
      <c r="B84" s="2">
        <f>B$2*Data!$I84+B$3*Data!$J84+B$4*Data!$K84+B$5*Data!$L84+B$6</f>
        <v>0.31734934086629002</v>
      </c>
      <c r="C84" s="2">
        <f>C$2*Data!$I84+C$3*Data!$J84+C$4*Data!$K84+C$5*Data!$L84+C$6</f>
        <v>0.31734934086629002</v>
      </c>
      <c r="D84" s="2">
        <f>D$2*Data!$I84+D$3*Data!$J84+D$4*Data!$K84+D$5*Data!$L84+D$6</f>
        <v>0.31734934086629002</v>
      </c>
      <c r="E84" s="2">
        <f>EXP(B84)</f>
        <v>1.3734823016230688</v>
      </c>
      <c r="F84" s="2">
        <f>EXP(C84)</f>
        <v>1.3734823016230688</v>
      </c>
      <c r="G84" s="2">
        <f>EXP(D84)</f>
        <v>1.3734823016230688</v>
      </c>
      <c r="H84" s="2">
        <f>SUM(E84:G84)</f>
        <v>4.1204469048692065</v>
      </c>
      <c r="I84" s="2">
        <f>E84/$H84</f>
        <v>0.33333333333333331</v>
      </c>
      <c r="J84" s="2">
        <f>F84/$H84</f>
        <v>0.33333333333333331</v>
      </c>
      <c r="K84" s="2">
        <f>G84/$H84</f>
        <v>0.33333333333333331</v>
      </c>
      <c r="L84" s="2">
        <f>-Data!M84*LOG(I84)</f>
        <v>0</v>
      </c>
      <c r="M84" s="2">
        <f>-Data!N84*LOG(J84)</f>
        <v>0.47712125471966244</v>
      </c>
      <c r="N84" s="2">
        <f>-Data!O84*LOG(K84)</f>
        <v>0</v>
      </c>
      <c r="O84" s="2">
        <f>SUM(L84:N84)</f>
        <v>0.47712125471966244</v>
      </c>
      <c r="P84" s="2"/>
      <c r="Q84" s="2">
        <f>(I84-Data!M84)*Data!I84</f>
        <v>0.21296296296296291</v>
      </c>
      <c r="R84" s="2">
        <f>($I84-Data!$M84)*Data!J84</f>
        <v>0.13888888888888887</v>
      </c>
      <c r="S84" s="2">
        <f>($I84-Data!$M84)*Data!K84</f>
        <v>0.19209039548022599</v>
      </c>
      <c r="T84" s="2">
        <f>($I84-Data!$M84)*Data!L84</f>
        <v>0.18055555555555552</v>
      </c>
      <c r="U84" s="2">
        <f>($I84-Data!$M84)</f>
        <v>0.33333333333333331</v>
      </c>
      <c r="V84" s="2">
        <f>($J84-Data!$N84)*Data!I84</f>
        <v>-0.42592592592592587</v>
      </c>
      <c r="W84" s="2">
        <f>($J84-Data!$N84)*Data!J84</f>
        <v>-0.27777777777777779</v>
      </c>
      <c r="X84" s="2">
        <f>($J84-Data!$N84)*Data!K84</f>
        <v>-0.38418079096045205</v>
      </c>
      <c r="Y84" s="2">
        <f>($J84-Data!$N84)*Data!L84</f>
        <v>-0.3611111111111111</v>
      </c>
      <c r="Z84" s="2">
        <f>($J84-Data!$N84)</f>
        <v>-0.66666666666666674</v>
      </c>
      <c r="AA84" s="2">
        <f>($K84-Data!$O84)*Data!I84</f>
        <v>0.21296296296296291</v>
      </c>
      <c r="AB84" s="2">
        <f>($K84-Data!$O84)*Data!J84</f>
        <v>0.13888888888888887</v>
      </c>
      <c r="AC84" s="2">
        <f>($K84-Data!$O84)*Data!K84</f>
        <v>0.19209039548022599</v>
      </c>
      <c r="AD84" s="2">
        <f>($K84-Data!$O84)*Data!L84</f>
        <v>0.18055555555555552</v>
      </c>
      <c r="AE84" s="2">
        <f>($K84-Data!$O84)</f>
        <v>0.33333333333333331</v>
      </c>
    </row>
    <row r="85" spans="2:31" x14ac:dyDescent="0.25">
      <c r="B85" s="2">
        <f>B$2*Data!$I85+B$3*Data!$J85+B$4*Data!$K85+B$5*Data!$L85+B$6</f>
        <v>0.32135122410546135</v>
      </c>
      <c r="C85" s="2">
        <f>C$2*Data!$I85+C$3*Data!$J85+C$4*Data!$K85+C$5*Data!$L85+C$6</f>
        <v>0.32135122410546135</v>
      </c>
      <c r="D85" s="2">
        <f>D$2*Data!$I85+D$3*Data!$J85+D$4*Data!$K85+D$5*Data!$L85+D$6</f>
        <v>0.32135122410546135</v>
      </c>
      <c r="E85" s="2">
        <f>EXP(B85)</f>
        <v>1.3789898303183343</v>
      </c>
      <c r="F85" s="2">
        <f>EXP(C85)</f>
        <v>1.3789898303183343</v>
      </c>
      <c r="G85" s="2">
        <f>EXP(D85)</f>
        <v>1.3789898303183343</v>
      </c>
      <c r="H85" s="2">
        <f>SUM(E85:G85)</f>
        <v>4.1369694909550034</v>
      </c>
      <c r="I85" s="2">
        <f>E85/$H85</f>
        <v>0.33333333333333331</v>
      </c>
      <c r="J85" s="2">
        <f>F85/$H85</f>
        <v>0.33333333333333331</v>
      </c>
      <c r="K85" s="2">
        <f>G85/$H85</f>
        <v>0.33333333333333331</v>
      </c>
      <c r="L85" s="2">
        <f>-Data!M85*LOG(I85)</f>
        <v>0</v>
      </c>
      <c r="M85" s="2">
        <f>-Data!N85*LOG(J85)</f>
        <v>0.47712125471966244</v>
      </c>
      <c r="N85" s="2">
        <f>-Data!O85*LOG(K85)</f>
        <v>0</v>
      </c>
      <c r="O85" s="2">
        <f>SUM(L85:N85)</f>
        <v>0.47712125471966244</v>
      </c>
      <c r="P85" s="2"/>
      <c r="Q85" s="2">
        <f>(I85-Data!M85)*Data!I85</f>
        <v>0.23148148148148143</v>
      </c>
      <c r="R85" s="2">
        <f>($I85-Data!$M85)*Data!J85</f>
        <v>0.11111111111111106</v>
      </c>
      <c r="S85" s="2">
        <f>($I85-Data!$M85)*Data!K85</f>
        <v>0.21468926553672313</v>
      </c>
      <c r="T85" s="2">
        <f>($I85-Data!$M85)*Data!L85</f>
        <v>0.18055555555555552</v>
      </c>
      <c r="U85" s="2">
        <f>($I85-Data!$M85)</f>
        <v>0.33333333333333331</v>
      </c>
      <c r="V85" s="2">
        <f>($J85-Data!$N85)*Data!I85</f>
        <v>-0.46296296296296291</v>
      </c>
      <c r="W85" s="2">
        <f>($J85-Data!$N85)*Data!J85</f>
        <v>-0.22222222222222215</v>
      </c>
      <c r="X85" s="2">
        <f>($J85-Data!$N85)*Data!K85</f>
        <v>-0.42937853107344637</v>
      </c>
      <c r="Y85" s="2">
        <f>($J85-Data!$N85)*Data!L85</f>
        <v>-0.3611111111111111</v>
      </c>
      <c r="Z85" s="2">
        <f>($J85-Data!$N85)</f>
        <v>-0.66666666666666674</v>
      </c>
      <c r="AA85" s="2">
        <f>($K85-Data!$O85)*Data!I85</f>
        <v>0.23148148148148143</v>
      </c>
      <c r="AB85" s="2">
        <f>($K85-Data!$O85)*Data!J85</f>
        <v>0.11111111111111106</v>
      </c>
      <c r="AC85" s="2">
        <f>($K85-Data!$O85)*Data!K85</f>
        <v>0.21468926553672313</v>
      </c>
      <c r="AD85" s="2">
        <f>($K85-Data!$O85)*Data!L85</f>
        <v>0.18055555555555552</v>
      </c>
      <c r="AE85" s="2">
        <f>($K85-Data!$O85)</f>
        <v>0.33333333333333331</v>
      </c>
    </row>
    <row r="86" spans="2:31" x14ac:dyDescent="0.25">
      <c r="B86" s="2">
        <f>B$2*Data!$I86+B$3*Data!$J86+B$4*Data!$K86+B$5*Data!$L86+B$6</f>
        <v>0.34279661016949148</v>
      </c>
      <c r="C86" s="2">
        <f>C$2*Data!$I86+C$3*Data!$J86+C$4*Data!$K86+C$5*Data!$L86+C$6</f>
        <v>0.34279661016949148</v>
      </c>
      <c r="D86" s="2">
        <f>D$2*Data!$I86+D$3*Data!$J86+D$4*Data!$K86+D$5*Data!$L86+D$6</f>
        <v>0.34279661016949148</v>
      </c>
      <c r="E86" s="2">
        <f>EXP(B86)</f>
        <v>1.408882180475669</v>
      </c>
      <c r="F86" s="2">
        <f>EXP(C86)</f>
        <v>1.408882180475669</v>
      </c>
      <c r="G86" s="2">
        <f>EXP(D86)</f>
        <v>1.408882180475669</v>
      </c>
      <c r="H86" s="2">
        <f>SUM(E86:G86)</f>
        <v>4.2266465414270069</v>
      </c>
      <c r="I86" s="2">
        <f>E86/$H86</f>
        <v>0.33333333333333337</v>
      </c>
      <c r="J86" s="2">
        <f>F86/$H86</f>
        <v>0.33333333333333337</v>
      </c>
      <c r="K86" s="2">
        <f>G86/$H86</f>
        <v>0.33333333333333337</v>
      </c>
      <c r="L86" s="2">
        <f>-Data!M86*LOG(I86)</f>
        <v>0</v>
      </c>
      <c r="M86" s="2">
        <f>-Data!N86*LOG(J86)</f>
        <v>0.47712125471966238</v>
      </c>
      <c r="N86" s="2">
        <f>-Data!O86*LOG(K86)</f>
        <v>0</v>
      </c>
      <c r="O86" s="2">
        <f>SUM(L86:N86)</f>
        <v>0.47712125471966238</v>
      </c>
      <c r="P86" s="2"/>
      <c r="Q86" s="2">
        <f>(I86-Data!M86)*Data!I86</f>
        <v>0.22222222222222224</v>
      </c>
      <c r="R86" s="2">
        <f>($I86-Data!$M86)*Data!J86</f>
        <v>0.1388888888888889</v>
      </c>
      <c r="S86" s="2">
        <f>($I86-Data!$M86)*Data!K86</f>
        <v>0.22598870056497178</v>
      </c>
      <c r="T86" s="2">
        <f>($I86-Data!$M86)*Data!L86</f>
        <v>0.22222222222222224</v>
      </c>
      <c r="U86" s="2">
        <f>($I86-Data!$M86)</f>
        <v>0.33333333333333337</v>
      </c>
      <c r="V86" s="2">
        <f>($J86-Data!$N86)*Data!I86</f>
        <v>-0.44444444444444442</v>
      </c>
      <c r="W86" s="2">
        <f>($J86-Data!$N86)*Data!J86</f>
        <v>-0.27777777777777773</v>
      </c>
      <c r="X86" s="2">
        <f>($J86-Data!$N86)*Data!K86</f>
        <v>-0.45197740112994345</v>
      </c>
      <c r="Y86" s="2">
        <f>($J86-Data!$N86)*Data!L86</f>
        <v>-0.44444444444444442</v>
      </c>
      <c r="Z86" s="2">
        <f>($J86-Data!$N86)</f>
        <v>-0.66666666666666663</v>
      </c>
      <c r="AA86" s="2">
        <f>($K86-Data!$O86)*Data!I86</f>
        <v>0.22222222222222224</v>
      </c>
      <c r="AB86" s="2">
        <f>($K86-Data!$O86)*Data!J86</f>
        <v>0.1388888888888889</v>
      </c>
      <c r="AC86" s="2">
        <f>($K86-Data!$O86)*Data!K86</f>
        <v>0.22598870056497178</v>
      </c>
      <c r="AD86" s="2">
        <f>($K86-Data!$O86)*Data!L86</f>
        <v>0.22222222222222224</v>
      </c>
      <c r="AE86" s="2">
        <f>($K86-Data!$O86)</f>
        <v>0.33333333333333337</v>
      </c>
    </row>
    <row r="87" spans="2:31" x14ac:dyDescent="0.25">
      <c r="B87" s="2">
        <f>B$2*Data!$I87+B$3*Data!$J87+B$4*Data!$K87+B$5*Data!$L87+B$6</f>
        <v>0.30237758945386062</v>
      </c>
      <c r="C87" s="2">
        <f>C$2*Data!$I87+C$3*Data!$J87+C$4*Data!$K87+C$5*Data!$L87+C$6</f>
        <v>0.30237758945386062</v>
      </c>
      <c r="D87" s="2">
        <f>D$2*Data!$I87+D$3*Data!$J87+D$4*Data!$K87+D$5*Data!$L87+D$6</f>
        <v>0.30237758945386062</v>
      </c>
      <c r="E87" s="2">
        <f>EXP(B87)</f>
        <v>1.3530720359964195</v>
      </c>
      <c r="F87" s="2">
        <f>EXP(C87)</f>
        <v>1.3530720359964195</v>
      </c>
      <c r="G87" s="2">
        <f>EXP(D87)</f>
        <v>1.3530720359964195</v>
      </c>
      <c r="H87" s="2">
        <f>SUM(E87:G87)</f>
        <v>4.0592161079892586</v>
      </c>
      <c r="I87" s="2">
        <f>E87/$H87</f>
        <v>0.33333333333333331</v>
      </c>
      <c r="J87" s="2">
        <f>F87/$H87</f>
        <v>0.33333333333333331</v>
      </c>
      <c r="K87" s="2">
        <f>G87/$H87</f>
        <v>0.33333333333333331</v>
      </c>
      <c r="L87" s="2">
        <f>-Data!M87*LOG(I87)</f>
        <v>0</v>
      </c>
      <c r="M87" s="2">
        <f>-Data!N87*LOG(J87)</f>
        <v>0.47712125471966244</v>
      </c>
      <c r="N87" s="2">
        <f>-Data!O87*LOG(K87)</f>
        <v>0</v>
      </c>
      <c r="O87" s="2">
        <f>SUM(L87:N87)</f>
        <v>0.47712125471966244</v>
      </c>
      <c r="P87" s="2"/>
      <c r="Q87" s="2">
        <f>(I87-Data!M87)*Data!I87</f>
        <v>0.15740740740740738</v>
      </c>
      <c r="R87" s="2">
        <f>($I87-Data!$M87)*Data!J87</f>
        <v>0.12499999999999996</v>
      </c>
      <c r="S87" s="2">
        <f>($I87-Data!$M87)*Data!K87</f>
        <v>0.19774011299435026</v>
      </c>
      <c r="T87" s="2">
        <f>($I87-Data!$M87)*Data!L87</f>
        <v>0.19444444444444445</v>
      </c>
      <c r="U87" s="2">
        <f>($I87-Data!$M87)</f>
        <v>0.33333333333333331</v>
      </c>
      <c r="V87" s="2">
        <f>($J87-Data!$N87)*Data!I87</f>
        <v>-0.31481481481481483</v>
      </c>
      <c r="W87" s="2">
        <f>($J87-Data!$N87)*Data!J87</f>
        <v>-0.24999999999999994</v>
      </c>
      <c r="X87" s="2">
        <f>($J87-Data!$N87)*Data!K87</f>
        <v>-0.39548022598870058</v>
      </c>
      <c r="Y87" s="2">
        <f>($J87-Data!$N87)*Data!L87</f>
        <v>-0.38888888888888895</v>
      </c>
      <c r="Z87" s="2">
        <f>($J87-Data!$N87)</f>
        <v>-0.66666666666666674</v>
      </c>
      <c r="AA87" s="2">
        <f>($K87-Data!$O87)*Data!I87</f>
        <v>0.15740740740740738</v>
      </c>
      <c r="AB87" s="2">
        <f>($K87-Data!$O87)*Data!J87</f>
        <v>0.12499999999999996</v>
      </c>
      <c r="AC87" s="2">
        <f>($K87-Data!$O87)*Data!K87</f>
        <v>0.19774011299435026</v>
      </c>
      <c r="AD87" s="2">
        <f>($K87-Data!$O87)*Data!L87</f>
        <v>0.19444444444444445</v>
      </c>
      <c r="AE87" s="2">
        <f>($K87-Data!$O87)</f>
        <v>0.33333333333333331</v>
      </c>
    </row>
    <row r="88" spans="2:31" x14ac:dyDescent="0.25">
      <c r="B88" s="2">
        <f>B$2*Data!$I88+B$3*Data!$J88+B$4*Data!$K88+B$5*Data!$L88+B$6</f>
        <v>0.24376177024482112</v>
      </c>
      <c r="C88" s="2">
        <f>C$2*Data!$I88+C$3*Data!$J88+C$4*Data!$K88+C$5*Data!$L88+C$6</f>
        <v>0.24376177024482112</v>
      </c>
      <c r="D88" s="2">
        <f>D$2*Data!$I88+D$3*Data!$J88+D$4*Data!$K88+D$5*Data!$L88+D$6</f>
        <v>0.24376177024482112</v>
      </c>
      <c r="E88" s="2">
        <f>EXP(B88)</f>
        <v>1.2760403035076529</v>
      </c>
      <c r="F88" s="2">
        <f>EXP(C88)</f>
        <v>1.2760403035076529</v>
      </c>
      <c r="G88" s="2">
        <f>EXP(D88)</f>
        <v>1.2760403035076529</v>
      </c>
      <c r="H88" s="2">
        <f>SUM(E88:G88)</f>
        <v>3.8281209105229586</v>
      </c>
      <c r="I88" s="2">
        <f>E88/$H88</f>
        <v>0.33333333333333331</v>
      </c>
      <c r="J88" s="2">
        <f>F88/$H88</f>
        <v>0.33333333333333331</v>
      </c>
      <c r="K88" s="2">
        <f>G88/$H88</f>
        <v>0.33333333333333331</v>
      </c>
      <c r="L88" s="2">
        <f>-Data!M88*LOG(I88)</f>
        <v>0</v>
      </c>
      <c r="M88" s="2">
        <f>-Data!N88*LOG(J88)</f>
        <v>0.47712125471966244</v>
      </c>
      <c r="N88" s="2">
        <f>-Data!O88*LOG(K88)</f>
        <v>0</v>
      </c>
      <c r="O88" s="2">
        <f>SUM(L88:N88)</f>
        <v>0.47712125471966244</v>
      </c>
      <c r="P88" s="2"/>
      <c r="Q88" s="2">
        <f>(I88-Data!M88)*Data!I88</f>
        <v>0.12962962962962965</v>
      </c>
      <c r="R88" s="2">
        <f>($I88-Data!$M88)*Data!J88</f>
        <v>8.3333333333333329E-2</v>
      </c>
      <c r="S88" s="2">
        <f>($I88-Data!$M88)*Data!K88</f>
        <v>0.14124293785310732</v>
      </c>
      <c r="T88" s="2">
        <f>($I88-Data!$M88)*Data!L88</f>
        <v>0.125</v>
      </c>
      <c r="U88" s="2">
        <f>($I88-Data!$M88)</f>
        <v>0.33333333333333331</v>
      </c>
      <c r="V88" s="2">
        <f>($J88-Data!$N88)*Data!I88</f>
        <v>-0.25925925925925936</v>
      </c>
      <c r="W88" s="2">
        <f>($J88-Data!$N88)*Data!J88</f>
        <v>-0.16666666666666669</v>
      </c>
      <c r="X88" s="2">
        <f>($J88-Data!$N88)*Data!K88</f>
        <v>-0.2824858757062147</v>
      </c>
      <c r="Y88" s="2">
        <f>($J88-Data!$N88)*Data!L88</f>
        <v>-0.25</v>
      </c>
      <c r="Z88" s="2">
        <f>($J88-Data!$N88)</f>
        <v>-0.66666666666666674</v>
      </c>
      <c r="AA88" s="2">
        <f>($K88-Data!$O88)*Data!I88</f>
        <v>0.12962962962962965</v>
      </c>
      <c r="AB88" s="2">
        <f>($K88-Data!$O88)*Data!J88</f>
        <v>8.3333333333333329E-2</v>
      </c>
      <c r="AC88" s="2">
        <f>($K88-Data!$O88)*Data!K88</f>
        <v>0.14124293785310732</v>
      </c>
      <c r="AD88" s="2">
        <f>($K88-Data!$O88)*Data!L88</f>
        <v>0.125</v>
      </c>
      <c r="AE88" s="2">
        <f>($K88-Data!$O88)</f>
        <v>0.33333333333333331</v>
      </c>
    </row>
    <row r="89" spans="2:31" x14ac:dyDescent="0.25">
      <c r="B89" s="2">
        <f>B$2*Data!$I89+B$3*Data!$J89+B$4*Data!$K89+B$5*Data!$L89+B$6</f>
        <v>0.23912429378531072</v>
      </c>
      <c r="C89" s="2">
        <f>C$2*Data!$I89+C$3*Data!$J89+C$4*Data!$K89+C$5*Data!$L89+C$6</f>
        <v>0.23912429378531072</v>
      </c>
      <c r="D89" s="2">
        <f>D$2*Data!$I89+D$3*Data!$J89+D$4*Data!$K89+D$5*Data!$L89+D$6</f>
        <v>0.23912429378531072</v>
      </c>
      <c r="E89" s="2">
        <f>EXP(B89)</f>
        <v>1.2701363968337327</v>
      </c>
      <c r="F89" s="2">
        <f>EXP(C89)</f>
        <v>1.2701363968337327</v>
      </c>
      <c r="G89" s="2">
        <f>EXP(D89)</f>
        <v>1.2701363968337327</v>
      </c>
      <c r="H89" s="2">
        <f>SUM(E89:G89)</f>
        <v>3.8104091905011979</v>
      </c>
      <c r="I89" s="2">
        <f>E89/$H89</f>
        <v>0.33333333333333337</v>
      </c>
      <c r="J89" s="2">
        <f>F89/$H89</f>
        <v>0.33333333333333337</v>
      </c>
      <c r="K89" s="2">
        <f>G89/$H89</f>
        <v>0.33333333333333337</v>
      </c>
      <c r="L89" s="2">
        <f>-Data!M89*LOG(I89)</f>
        <v>0</v>
      </c>
      <c r="M89" s="2">
        <f>-Data!N89*LOG(J89)</f>
        <v>0.47712125471966238</v>
      </c>
      <c r="N89" s="2">
        <f>-Data!O89*LOG(K89)</f>
        <v>0</v>
      </c>
      <c r="O89" s="2">
        <f>SUM(L89:N89)</f>
        <v>0.47712125471966238</v>
      </c>
      <c r="P89" s="2"/>
      <c r="Q89" s="2">
        <f>(I89-Data!M89)*Data!I89</f>
        <v>0.11111111111111112</v>
      </c>
      <c r="R89" s="2">
        <f>($I89-Data!$M89)*Data!J89</f>
        <v>5.5555555555555539E-2</v>
      </c>
      <c r="S89" s="2">
        <f>($I89-Data!$M89)*Data!K89</f>
        <v>0.15819209039548024</v>
      </c>
      <c r="T89" s="2">
        <f>($I89-Data!$M89)*Data!L89</f>
        <v>0.13888888888888892</v>
      </c>
      <c r="U89" s="2">
        <f>($I89-Data!$M89)</f>
        <v>0.33333333333333337</v>
      </c>
      <c r="V89" s="2">
        <f>($J89-Data!$N89)*Data!I89</f>
        <v>-0.22222222222222221</v>
      </c>
      <c r="W89" s="2">
        <f>($J89-Data!$N89)*Data!J89</f>
        <v>-0.11111111111111106</v>
      </c>
      <c r="X89" s="2">
        <f>($J89-Data!$N89)*Data!K89</f>
        <v>-0.31638418079096042</v>
      </c>
      <c r="Y89" s="2">
        <f>($J89-Data!$N89)*Data!L89</f>
        <v>-0.27777777777777779</v>
      </c>
      <c r="Z89" s="2">
        <f>($J89-Data!$N89)</f>
        <v>-0.66666666666666663</v>
      </c>
      <c r="AA89" s="2">
        <f>($K89-Data!$O89)*Data!I89</f>
        <v>0.11111111111111112</v>
      </c>
      <c r="AB89" s="2">
        <f>($K89-Data!$O89)*Data!J89</f>
        <v>5.5555555555555539E-2</v>
      </c>
      <c r="AC89" s="2">
        <f>($K89-Data!$O89)*Data!K89</f>
        <v>0.15819209039548024</v>
      </c>
      <c r="AD89" s="2">
        <f>($K89-Data!$O89)*Data!L89</f>
        <v>0.13888888888888892</v>
      </c>
      <c r="AE89" s="2">
        <f>($K89-Data!$O89)</f>
        <v>0.33333333333333337</v>
      </c>
    </row>
    <row r="90" spans="2:31" x14ac:dyDescent="0.25">
      <c r="B90" s="2">
        <f>B$2*Data!$I90+B$3*Data!$J90+B$4*Data!$K90+B$5*Data!$L90+B$6</f>
        <v>0.23326271186440678</v>
      </c>
      <c r="C90" s="2">
        <f>C$2*Data!$I90+C$3*Data!$J90+C$4*Data!$K90+C$5*Data!$L90+C$6</f>
        <v>0.23326271186440678</v>
      </c>
      <c r="D90" s="2">
        <f>D$2*Data!$I90+D$3*Data!$J90+D$4*Data!$K90+D$5*Data!$L90+D$6</f>
        <v>0.23326271186440678</v>
      </c>
      <c r="E90" s="2">
        <f>EXP(B90)</f>
        <v>1.2627131654863248</v>
      </c>
      <c r="F90" s="2">
        <f>EXP(C90)</f>
        <v>1.2627131654863248</v>
      </c>
      <c r="G90" s="2">
        <f>EXP(D90)</f>
        <v>1.2627131654863248</v>
      </c>
      <c r="H90" s="2">
        <f>SUM(E90:G90)</f>
        <v>3.7881394964589745</v>
      </c>
      <c r="I90" s="2">
        <f>E90/$H90</f>
        <v>0.33333333333333331</v>
      </c>
      <c r="J90" s="2">
        <f>F90/$H90</f>
        <v>0.33333333333333331</v>
      </c>
      <c r="K90" s="2">
        <f>G90/$H90</f>
        <v>0.33333333333333331</v>
      </c>
      <c r="L90" s="2">
        <f>-Data!M90*LOG(I90)</f>
        <v>0</v>
      </c>
      <c r="M90" s="2">
        <f>-Data!N90*LOG(J90)</f>
        <v>0.47712125471966244</v>
      </c>
      <c r="N90" s="2">
        <f>-Data!O90*LOG(K90)</f>
        <v>0</v>
      </c>
      <c r="O90" s="2">
        <f>SUM(L90:N90)</f>
        <v>0.47712125471966244</v>
      </c>
      <c r="P90" s="2"/>
      <c r="Q90" s="2">
        <f>(I90-Data!M90)*Data!I90</f>
        <v>0.1111111111111111</v>
      </c>
      <c r="R90" s="2">
        <f>($I90-Data!$M90)*Data!J90</f>
        <v>5.5555555555555532E-2</v>
      </c>
      <c r="S90" s="2">
        <f>($I90-Data!$M90)*Data!K90</f>
        <v>0.15254237288135591</v>
      </c>
      <c r="T90" s="2">
        <f>($I90-Data!$M90)*Data!L90</f>
        <v>0.125</v>
      </c>
      <c r="U90" s="2">
        <f>($I90-Data!$M90)</f>
        <v>0.33333333333333331</v>
      </c>
      <c r="V90" s="2">
        <f>($J90-Data!$N90)*Data!I90</f>
        <v>-0.22222222222222224</v>
      </c>
      <c r="W90" s="2">
        <f>($J90-Data!$N90)*Data!J90</f>
        <v>-0.11111111111111108</v>
      </c>
      <c r="X90" s="2">
        <f>($J90-Data!$N90)*Data!K90</f>
        <v>-0.30508474576271188</v>
      </c>
      <c r="Y90" s="2">
        <f>($J90-Data!$N90)*Data!L90</f>
        <v>-0.25</v>
      </c>
      <c r="Z90" s="2">
        <f>($J90-Data!$N90)</f>
        <v>-0.66666666666666674</v>
      </c>
      <c r="AA90" s="2">
        <f>($K90-Data!$O90)*Data!I90</f>
        <v>0.1111111111111111</v>
      </c>
      <c r="AB90" s="2">
        <f>($K90-Data!$O90)*Data!J90</f>
        <v>5.5555555555555532E-2</v>
      </c>
      <c r="AC90" s="2">
        <f>($K90-Data!$O90)*Data!K90</f>
        <v>0.15254237288135591</v>
      </c>
      <c r="AD90" s="2">
        <f>($K90-Data!$O90)*Data!L90</f>
        <v>0.125</v>
      </c>
      <c r="AE90" s="2">
        <f>($K90-Data!$O90)</f>
        <v>0.33333333333333331</v>
      </c>
    </row>
    <row r="91" spans="2:31" x14ac:dyDescent="0.25">
      <c r="B91" s="2">
        <f>B$2*Data!$I91+B$3*Data!$J91+B$4*Data!$K91+B$5*Data!$L91+B$6</f>
        <v>0.26581920903954803</v>
      </c>
      <c r="C91" s="2">
        <f>C$2*Data!$I91+C$3*Data!$J91+C$4*Data!$K91+C$5*Data!$L91+C$6</f>
        <v>0.26581920903954803</v>
      </c>
      <c r="D91" s="2">
        <f>D$2*Data!$I91+D$3*Data!$J91+D$4*Data!$K91+D$5*Data!$L91+D$6</f>
        <v>0.26581920903954803</v>
      </c>
      <c r="E91" s="2">
        <f>EXP(B91)</f>
        <v>1.3044991957041225</v>
      </c>
      <c r="F91" s="2">
        <f>EXP(C91)</f>
        <v>1.3044991957041225</v>
      </c>
      <c r="G91" s="2">
        <f>EXP(D91)</f>
        <v>1.3044991957041225</v>
      </c>
      <c r="H91" s="2">
        <f>SUM(E91:G91)</f>
        <v>3.9134975871123676</v>
      </c>
      <c r="I91" s="2">
        <f>E91/$H91</f>
        <v>0.33333333333333331</v>
      </c>
      <c r="J91" s="2">
        <f>F91/$H91</f>
        <v>0.33333333333333331</v>
      </c>
      <c r="K91" s="2">
        <f>G91/$H91</f>
        <v>0.33333333333333331</v>
      </c>
      <c r="L91" s="2">
        <f>-Data!M91*LOG(I91)</f>
        <v>0</v>
      </c>
      <c r="M91" s="2">
        <f>-Data!N91*LOG(J91)</f>
        <v>0.47712125471966244</v>
      </c>
      <c r="N91" s="2">
        <f>-Data!O91*LOG(K91)</f>
        <v>0</v>
      </c>
      <c r="O91" s="2">
        <f>SUM(L91:N91)</f>
        <v>0.47712125471966244</v>
      </c>
      <c r="P91" s="2"/>
      <c r="Q91" s="2">
        <f>(I91-Data!M91)*Data!I91</f>
        <v>0.13888888888888887</v>
      </c>
      <c r="R91" s="2">
        <f>($I91-Data!$M91)*Data!J91</f>
        <v>9.7222222222222224E-2</v>
      </c>
      <c r="S91" s="2">
        <f>($I91-Data!$M91)*Data!K91</f>
        <v>0.16384180790960451</v>
      </c>
      <c r="T91" s="2">
        <f>($I91-Data!$M91)*Data!L91</f>
        <v>0.15277777777777776</v>
      </c>
      <c r="U91" s="2">
        <f>($I91-Data!$M91)</f>
        <v>0.33333333333333331</v>
      </c>
      <c r="V91" s="2">
        <f>($J91-Data!$N91)*Data!I91</f>
        <v>-0.27777777777777779</v>
      </c>
      <c r="W91" s="2">
        <f>($J91-Data!$N91)*Data!J91</f>
        <v>-0.19444444444444448</v>
      </c>
      <c r="X91" s="2">
        <f>($J91-Data!$N91)*Data!K91</f>
        <v>-0.32768361581920907</v>
      </c>
      <c r="Y91" s="2">
        <f>($J91-Data!$N91)*Data!L91</f>
        <v>-0.30555555555555558</v>
      </c>
      <c r="Z91" s="2">
        <f>($J91-Data!$N91)</f>
        <v>-0.66666666666666674</v>
      </c>
      <c r="AA91" s="2">
        <f>($K91-Data!$O91)*Data!I91</f>
        <v>0.13888888888888887</v>
      </c>
      <c r="AB91" s="2">
        <f>($K91-Data!$O91)*Data!J91</f>
        <v>9.7222222222222224E-2</v>
      </c>
      <c r="AC91" s="2">
        <f>($K91-Data!$O91)*Data!K91</f>
        <v>0.16384180790960451</v>
      </c>
      <c r="AD91" s="2">
        <f>($K91-Data!$O91)*Data!L91</f>
        <v>0.15277777777777776</v>
      </c>
      <c r="AE91" s="2">
        <f>($K91-Data!$O91)</f>
        <v>0.33333333333333331</v>
      </c>
    </row>
    <row r="92" spans="2:31" x14ac:dyDescent="0.25">
      <c r="B92" s="2">
        <f>B$2*Data!$I92+B$3*Data!$J92+B$4*Data!$K92+B$5*Data!$L92+B$6</f>
        <v>0.30838041431261776</v>
      </c>
      <c r="C92" s="2">
        <f>C$2*Data!$I92+C$3*Data!$J92+C$4*Data!$K92+C$5*Data!$L92+C$6</f>
        <v>0.30838041431261776</v>
      </c>
      <c r="D92" s="2">
        <f>D$2*Data!$I92+D$3*Data!$J92+D$4*Data!$K92+D$5*Data!$L92+D$6</f>
        <v>0.30838041431261776</v>
      </c>
      <c r="E92" s="2">
        <f>EXP(B92)</f>
        <v>1.3612187175379762</v>
      </c>
      <c r="F92" s="2">
        <f>EXP(C92)</f>
        <v>1.3612187175379762</v>
      </c>
      <c r="G92" s="2">
        <f>EXP(D92)</f>
        <v>1.3612187175379762</v>
      </c>
      <c r="H92" s="2">
        <f>SUM(E92:G92)</f>
        <v>4.0836561526139281</v>
      </c>
      <c r="I92" s="2">
        <f>E92/$H92</f>
        <v>0.33333333333333337</v>
      </c>
      <c r="J92" s="2">
        <f>F92/$H92</f>
        <v>0.33333333333333337</v>
      </c>
      <c r="K92" s="2">
        <f>G92/$H92</f>
        <v>0.33333333333333337</v>
      </c>
      <c r="L92" s="2">
        <f>-Data!M92*LOG(I92)</f>
        <v>0</v>
      </c>
      <c r="M92" s="2">
        <f>-Data!N92*LOG(J92)</f>
        <v>0.47712125471966238</v>
      </c>
      <c r="N92" s="2">
        <f>-Data!O92*LOG(K92)</f>
        <v>0</v>
      </c>
      <c r="O92" s="2">
        <f>SUM(L92:N92)</f>
        <v>0.47712125471966238</v>
      </c>
      <c r="P92" s="2"/>
      <c r="Q92" s="2">
        <f>(I92-Data!M92)*Data!I92</f>
        <v>0.15740740740740741</v>
      </c>
      <c r="R92" s="2">
        <f>($I92-Data!$M92)*Data!J92</f>
        <v>9.7222222222222238E-2</v>
      </c>
      <c r="S92" s="2">
        <f>($I92-Data!$M92)*Data!K92</f>
        <v>0.23163841807909605</v>
      </c>
      <c r="T92" s="2">
        <f>($I92-Data!$M92)*Data!L92</f>
        <v>0.20833333333333337</v>
      </c>
      <c r="U92" s="2">
        <f>($I92-Data!$M92)</f>
        <v>0.33333333333333337</v>
      </c>
      <c r="V92" s="2">
        <f>($J92-Data!$N92)*Data!I92</f>
        <v>-0.31481481481481477</v>
      </c>
      <c r="W92" s="2">
        <f>($J92-Data!$N92)*Data!J92</f>
        <v>-0.19444444444444445</v>
      </c>
      <c r="X92" s="2">
        <f>($J92-Data!$N92)*Data!K92</f>
        <v>-0.46327683615819204</v>
      </c>
      <c r="Y92" s="2">
        <f>($J92-Data!$N92)*Data!L92</f>
        <v>-0.41666666666666663</v>
      </c>
      <c r="Z92" s="2">
        <f>($J92-Data!$N92)</f>
        <v>-0.66666666666666663</v>
      </c>
      <c r="AA92" s="2">
        <f>($K92-Data!$O92)*Data!I92</f>
        <v>0.15740740740740741</v>
      </c>
      <c r="AB92" s="2">
        <f>($K92-Data!$O92)*Data!J92</f>
        <v>9.7222222222222238E-2</v>
      </c>
      <c r="AC92" s="2">
        <f>($K92-Data!$O92)*Data!K92</f>
        <v>0.23163841807909605</v>
      </c>
      <c r="AD92" s="2">
        <f>($K92-Data!$O92)*Data!L92</f>
        <v>0.20833333333333337</v>
      </c>
      <c r="AE92" s="2">
        <f>($K92-Data!$O92)</f>
        <v>0.33333333333333337</v>
      </c>
    </row>
    <row r="93" spans="2:31" x14ac:dyDescent="0.25">
      <c r="B93" s="2">
        <f>B$2*Data!$I93+B$3*Data!$J93+B$4*Data!$K93+B$5*Data!$L93+B$6</f>
        <v>0.28987758945386066</v>
      </c>
      <c r="C93" s="2">
        <f>C$2*Data!$I93+C$3*Data!$J93+C$4*Data!$K93+C$5*Data!$L93+C$6</f>
        <v>0.28987758945386066</v>
      </c>
      <c r="D93" s="2">
        <f>D$2*Data!$I93+D$3*Data!$J93+D$4*Data!$K93+D$5*Data!$L93+D$6</f>
        <v>0.28987758945386066</v>
      </c>
      <c r="E93" s="2">
        <f>EXP(B93)</f>
        <v>1.3362639052191219</v>
      </c>
      <c r="F93" s="2">
        <f>EXP(C93)</f>
        <v>1.3362639052191219</v>
      </c>
      <c r="G93" s="2">
        <f>EXP(D93)</f>
        <v>1.3362639052191219</v>
      </c>
      <c r="H93" s="2">
        <f>SUM(E93:G93)</f>
        <v>4.0087917156573658</v>
      </c>
      <c r="I93" s="2">
        <f>E93/$H93</f>
        <v>0.33333333333333331</v>
      </c>
      <c r="J93" s="2">
        <f>F93/$H93</f>
        <v>0.33333333333333331</v>
      </c>
      <c r="K93" s="2">
        <f>G93/$H93</f>
        <v>0.33333333333333331</v>
      </c>
      <c r="L93" s="2">
        <f>-Data!M93*LOG(I93)</f>
        <v>0</v>
      </c>
      <c r="M93" s="2">
        <f>-Data!N93*LOG(J93)</f>
        <v>0.47712125471966244</v>
      </c>
      <c r="N93" s="2">
        <f>-Data!O93*LOG(K93)</f>
        <v>0</v>
      </c>
      <c r="O93" s="2">
        <f>SUM(L93:N93)</f>
        <v>0.47712125471966244</v>
      </c>
      <c r="P93" s="2"/>
      <c r="Q93" s="2">
        <f>(I93-Data!M93)*Data!I93</f>
        <v>0.10185185185185187</v>
      </c>
      <c r="R93" s="2">
        <f>($I93-Data!$M93)*Data!J93</f>
        <v>0.13888888888888887</v>
      </c>
      <c r="S93" s="2">
        <f>($I93-Data!$M93)*Data!K93</f>
        <v>0.19774011299435026</v>
      </c>
      <c r="T93" s="2">
        <f>($I93-Data!$M93)*Data!L93</f>
        <v>0.19444444444444445</v>
      </c>
      <c r="U93" s="2">
        <f>($I93-Data!$M93)</f>
        <v>0.33333333333333331</v>
      </c>
      <c r="V93" s="2">
        <f>($J93-Data!$N93)*Data!I93</f>
        <v>-0.20370370370370378</v>
      </c>
      <c r="W93" s="2">
        <f>($J93-Data!$N93)*Data!J93</f>
        <v>-0.27777777777777779</v>
      </c>
      <c r="X93" s="2">
        <f>($J93-Data!$N93)*Data!K93</f>
        <v>-0.39548022598870058</v>
      </c>
      <c r="Y93" s="2">
        <f>($J93-Data!$N93)*Data!L93</f>
        <v>-0.38888888888888895</v>
      </c>
      <c r="Z93" s="2">
        <f>($J93-Data!$N93)</f>
        <v>-0.66666666666666674</v>
      </c>
      <c r="AA93" s="2">
        <f>($K93-Data!$O93)*Data!I93</f>
        <v>0.10185185185185187</v>
      </c>
      <c r="AB93" s="2">
        <f>($K93-Data!$O93)*Data!J93</f>
        <v>0.13888888888888887</v>
      </c>
      <c r="AC93" s="2">
        <f>($K93-Data!$O93)*Data!K93</f>
        <v>0.19774011299435026</v>
      </c>
      <c r="AD93" s="2">
        <f>($K93-Data!$O93)*Data!L93</f>
        <v>0.19444444444444445</v>
      </c>
      <c r="AE93" s="2">
        <f>($K93-Data!$O93)</f>
        <v>0.33333333333333331</v>
      </c>
    </row>
    <row r="94" spans="2:31" x14ac:dyDescent="0.25">
      <c r="B94" s="2">
        <f>B$2*Data!$I94+B$3*Data!$J94+B$4*Data!$K94+B$5*Data!$L94+B$6</f>
        <v>0.32737758945386064</v>
      </c>
      <c r="C94" s="2">
        <f>C$2*Data!$I94+C$3*Data!$J94+C$4*Data!$K94+C$5*Data!$L94+C$6</f>
        <v>0.32737758945386064</v>
      </c>
      <c r="D94" s="2">
        <f>D$2*Data!$I94+D$3*Data!$J94+D$4*Data!$K94+D$5*Data!$L94+D$6</f>
        <v>0.32737758945386064</v>
      </c>
      <c r="E94" s="2">
        <f>EXP(B94)</f>
        <v>1.387325217665903</v>
      </c>
      <c r="F94" s="2">
        <f>EXP(C94)</f>
        <v>1.387325217665903</v>
      </c>
      <c r="G94" s="2">
        <f>EXP(D94)</f>
        <v>1.387325217665903</v>
      </c>
      <c r="H94" s="2">
        <f>SUM(E94:G94)</f>
        <v>4.1619756529977092</v>
      </c>
      <c r="I94" s="2">
        <f>E94/$H94</f>
        <v>0.33333333333333331</v>
      </c>
      <c r="J94" s="2">
        <f>F94/$H94</f>
        <v>0.33333333333333331</v>
      </c>
      <c r="K94" s="2">
        <f>G94/$H94</f>
        <v>0.33333333333333331</v>
      </c>
      <c r="L94" s="2">
        <f>-Data!M94*LOG(I94)</f>
        <v>0</v>
      </c>
      <c r="M94" s="2">
        <f>-Data!N94*LOG(J94)</f>
        <v>0.47712125471966244</v>
      </c>
      <c r="N94" s="2">
        <f>-Data!O94*LOG(K94)</f>
        <v>0</v>
      </c>
      <c r="O94" s="2">
        <f>SUM(L94:N94)</f>
        <v>0.47712125471966244</v>
      </c>
      <c r="P94" s="2"/>
      <c r="Q94" s="2">
        <f>(I94-Data!M94)*Data!I94</f>
        <v>0.15740740740740738</v>
      </c>
      <c r="R94" s="2">
        <f>($I94-Data!$M94)*Data!J94</f>
        <v>0.19444444444444442</v>
      </c>
      <c r="S94" s="2">
        <f>($I94-Data!$M94)*Data!K94</f>
        <v>0.19774011299435026</v>
      </c>
      <c r="T94" s="2">
        <f>($I94-Data!$M94)*Data!L94</f>
        <v>0.20833333333333331</v>
      </c>
      <c r="U94" s="2">
        <f>($I94-Data!$M94)</f>
        <v>0.33333333333333331</v>
      </c>
      <c r="V94" s="2">
        <f>($J94-Data!$N94)*Data!I94</f>
        <v>-0.31481481481481483</v>
      </c>
      <c r="W94" s="2">
        <f>($J94-Data!$N94)*Data!J94</f>
        <v>-0.3888888888888889</v>
      </c>
      <c r="X94" s="2">
        <f>($J94-Data!$N94)*Data!K94</f>
        <v>-0.39548022598870058</v>
      </c>
      <c r="Y94" s="2">
        <f>($J94-Data!$N94)*Data!L94</f>
        <v>-0.41666666666666674</v>
      </c>
      <c r="Z94" s="2">
        <f>($J94-Data!$N94)</f>
        <v>-0.66666666666666674</v>
      </c>
      <c r="AA94" s="2">
        <f>($K94-Data!$O94)*Data!I94</f>
        <v>0.15740740740740738</v>
      </c>
      <c r="AB94" s="2">
        <f>($K94-Data!$O94)*Data!J94</f>
        <v>0.19444444444444442</v>
      </c>
      <c r="AC94" s="2">
        <f>($K94-Data!$O94)*Data!K94</f>
        <v>0.19774011299435026</v>
      </c>
      <c r="AD94" s="2">
        <f>($K94-Data!$O94)*Data!L94</f>
        <v>0.20833333333333331</v>
      </c>
      <c r="AE94" s="2">
        <f>($K94-Data!$O94)</f>
        <v>0.33333333333333331</v>
      </c>
    </row>
    <row r="95" spans="2:31" x14ac:dyDescent="0.25">
      <c r="B95" s="2">
        <f>B$2*Data!$I95+B$3*Data!$J95+B$4*Data!$K95+B$5*Data!$L95+B$6</f>
        <v>0.33354519774011304</v>
      </c>
      <c r="C95" s="2">
        <f>C$2*Data!$I95+C$3*Data!$J95+C$4*Data!$K95+C$5*Data!$L95+C$6</f>
        <v>0.33354519774011304</v>
      </c>
      <c r="D95" s="2">
        <f>D$2*Data!$I95+D$3*Data!$J95+D$4*Data!$K95+D$5*Data!$L95+D$6</f>
        <v>0.33354519774011304</v>
      </c>
      <c r="E95" s="2">
        <f>EXP(B95)</f>
        <v>1.3959081370089341</v>
      </c>
      <c r="F95" s="2">
        <f>EXP(C95)</f>
        <v>1.3959081370089341</v>
      </c>
      <c r="G95" s="2">
        <f>EXP(D95)</f>
        <v>1.3959081370089341</v>
      </c>
      <c r="H95" s="2">
        <f>SUM(E95:G95)</f>
        <v>4.1877244110268022</v>
      </c>
      <c r="I95" s="2">
        <f>E95/$H95</f>
        <v>0.33333333333333337</v>
      </c>
      <c r="J95" s="2">
        <f>F95/$H95</f>
        <v>0.33333333333333337</v>
      </c>
      <c r="K95" s="2">
        <f>G95/$H95</f>
        <v>0.33333333333333337</v>
      </c>
      <c r="L95" s="2">
        <f>-Data!M95*LOG(I95)</f>
        <v>0</v>
      </c>
      <c r="M95" s="2">
        <f>-Data!N95*LOG(J95)</f>
        <v>0.47712125471966238</v>
      </c>
      <c r="N95" s="2">
        <f>-Data!O95*LOG(K95)</f>
        <v>0</v>
      </c>
      <c r="O95" s="2">
        <f>SUM(L95:N95)</f>
        <v>0.47712125471966238</v>
      </c>
      <c r="P95" s="2"/>
      <c r="Q95" s="2">
        <f>(I95-Data!M95)*Data!I95</f>
        <v>0.22222222222222224</v>
      </c>
      <c r="R95" s="2">
        <f>($I95-Data!$M95)*Data!J95</f>
        <v>0.15277777777777779</v>
      </c>
      <c r="S95" s="2">
        <f>($I95-Data!$M95)*Data!K95</f>
        <v>0.20903954802259889</v>
      </c>
      <c r="T95" s="2">
        <f>($I95-Data!$M95)*Data!L95</f>
        <v>0.19444444444444448</v>
      </c>
      <c r="U95" s="2">
        <f>($I95-Data!$M95)</f>
        <v>0.33333333333333337</v>
      </c>
      <c r="V95" s="2">
        <f>($J95-Data!$N95)*Data!I95</f>
        <v>-0.44444444444444442</v>
      </c>
      <c r="W95" s="2">
        <f>($J95-Data!$N95)*Data!J95</f>
        <v>-0.30555555555555552</v>
      </c>
      <c r="X95" s="2">
        <f>($J95-Data!$N95)*Data!K95</f>
        <v>-0.41807909604519772</v>
      </c>
      <c r="Y95" s="2">
        <f>($J95-Data!$N95)*Data!L95</f>
        <v>-0.3888888888888889</v>
      </c>
      <c r="Z95" s="2">
        <f>($J95-Data!$N95)</f>
        <v>-0.66666666666666663</v>
      </c>
      <c r="AA95" s="2">
        <f>($K95-Data!$O95)*Data!I95</f>
        <v>0.22222222222222224</v>
      </c>
      <c r="AB95" s="2">
        <f>($K95-Data!$O95)*Data!J95</f>
        <v>0.15277777777777779</v>
      </c>
      <c r="AC95" s="2">
        <f>($K95-Data!$O95)*Data!K95</f>
        <v>0.20903954802259889</v>
      </c>
      <c r="AD95" s="2">
        <f>($K95-Data!$O95)*Data!L95</f>
        <v>0.19444444444444448</v>
      </c>
      <c r="AE95" s="2">
        <f>($K95-Data!$O95)</f>
        <v>0.33333333333333337</v>
      </c>
    </row>
    <row r="96" spans="2:31" x14ac:dyDescent="0.25">
      <c r="B96" s="2">
        <f>B$2*Data!$I96+B$3*Data!$J96+B$4*Data!$K96+B$5*Data!$L96+B$6</f>
        <v>0.27568267419962333</v>
      </c>
      <c r="C96" s="2">
        <f>C$2*Data!$I96+C$3*Data!$J96+C$4*Data!$K96+C$5*Data!$L96+C$6</f>
        <v>0.27568267419962333</v>
      </c>
      <c r="D96" s="2">
        <f>D$2*Data!$I96+D$3*Data!$J96+D$4*Data!$K96+D$5*Data!$L96+D$6</f>
        <v>0.27568267419962333</v>
      </c>
      <c r="E96" s="2">
        <f>EXP(B96)</f>
        <v>1.317429743242841</v>
      </c>
      <c r="F96" s="2">
        <f>EXP(C96)</f>
        <v>1.317429743242841</v>
      </c>
      <c r="G96" s="2">
        <f>EXP(D96)</f>
        <v>1.317429743242841</v>
      </c>
      <c r="H96" s="2">
        <f>SUM(E96:G96)</f>
        <v>3.9522892297285228</v>
      </c>
      <c r="I96" s="2">
        <f>E96/$H96</f>
        <v>0.33333333333333337</v>
      </c>
      <c r="J96" s="2">
        <f>F96/$H96</f>
        <v>0.33333333333333337</v>
      </c>
      <c r="K96" s="2">
        <f>G96/$H96</f>
        <v>0.33333333333333337</v>
      </c>
      <c r="L96" s="2">
        <f>-Data!M96*LOG(I96)</f>
        <v>0</v>
      </c>
      <c r="M96" s="2">
        <f>-Data!N96*LOG(J96)</f>
        <v>0.47712125471966238</v>
      </c>
      <c r="N96" s="2">
        <f>-Data!O96*LOG(K96)</f>
        <v>0</v>
      </c>
      <c r="O96" s="2">
        <f>SUM(L96:N96)</f>
        <v>0.47712125471966238</v>
      </c>
      <c r="P96" s="2"/>
      <c r="Q96" s="2">
        <f>(I96-Data!M96)*Data!I96</f>
        <v>0.18518518518518517</v>
      </c>
      <c r="R96" s="2">
        <f>($I96-Data!$M96)*Data!J96</f>
        <v>4.1666666666666637E-2</v>
      </c>
      <c r="S96" s="2">
        <f>($I96-Data!$M96)*Data!K96</f>
        <v>0.19209039548022602</v>
      </c>
      <c r="T96" s="2">
        <f>($I96-Data!$M96)*Data!L96</f>
        <v>0.16666666666666669</v>
      </c>
      <c r="U96" s="2">
        <f>($I96-Data!$M96)</f>
        <v>0.33333333333333337</v>
      </c>
      <c r="V96" s="2">
        <f>($J96-Data!$N96)*Data!I96</f>
        <v>-0.37037037037037029</v>
      </c>
      <c r="W96" s="2">
        <f>($J96-Data!$N96)*Data!J96</f>
        <v>-8.3333333333333259E-2</v>
      </c>
      <c r="X96" s="2">
        <f>($J96-Data!$N96)*Data!K96</f>
        <v>-0.38418079096045199</v>
      </c>
      <c r="Y96" s="2">
        <f>($J96-Data!$N96)*Data!L96</f>
        <v>-0.33333333333333331</v>
      </c>
      <c r="Z96" s="2">
        <f>($J96-Data!$N96)</f>
        <v>-0.66666666666666663</v>
      </c>
      <c r="AA96" s="2">
        <f>($K96-Data!$O96)*Data!I96</f>
        <v>0.18518518518518517</v>
      </c>
      <c r="AB96" s="2">
        <f>($K96-Data!$O96)*Data!J96</f>
        <v>4.1666666666666637E-2</v>
      </c>
      <c r="AC96" s="2">
        <f>($K96-Data!$O96)*Data!K96</f>
        <v>0.19209039548022602</v>
      </c>
      <c r="AD96" s="2">
        <f>($K96-Data!$O96)*Data!L96</f>
        <v>0.16666666666666669</v>
      </c>
      <c r="AE96" s="2">
        <f>($K96-Data!$O96)</f>
        <v>0.33333333333333337</v>
      </c>
    </row>
    <row r="97" spans="2:31" x14ac:dyDescent="0.25">
      <c r="B97" s="2">
        <f>B$2*Data!$I97+B$3*Data!$J97+B$4*Data!$K97+B$5*Data!$L97+B$6</f>
        <v>0.28032015065913374</v>
      </c>
      <c r="C97" s="2">
        <f>C$2*Data!$I97+C$3*Data!$J97+C$4*Data!$K97+C$5*Data!$L97+C$6</f>
        <v>0.28032015065913374</v>
      </c>
      <c r="D97" s="2">
        <f>D$2*Data!$I97+D$3*Data!$J97+D$4*Data!$K97+D$5*Data!$L97+D$6</f>
        <v>0.28032015065913374</v>
      </c>
      <c r="E97" s="2">
        <f>EXP(B97)</f>
        <v>1.3235534810342637</v>
      </c>
      <c r="F97" s="2">
        <f>EXP(C97)</f>
        <v>1.3235534810342637</v>
      </c>
      <c r="G97" s="2">
        <f>EXP(D97)</f>
        <v>1.3235534810342637</v>
      </c>
      <c r="H97" s="2">
        <f>SUM(E97:G97)</f>
        <v>3.9706604431027914</v>
      </c>
      <c r="I97" s="2">
        <f>E97/$H97</f>
        <v>0.33333333333333331</v>
      </c>
      <c r="J97" s="2">
        <f>F97/$H97</f>
        <v>0.33333333333333331</v>
      </c>
      <c r="K97" s="2">
        <f>G97/$H97</f>
        <v>0.33333333333333331</v>
      </c>
      <c r="L97" s="2">
        <f>-Data!M97*LOG(I97)</f>
        <v>0</v>
      </c>
      <c r="M97" s="2">
        <f>-Data!N97*LOG(J97)</f>
        <v>0.47712125471966244</v>
      </c>
      <c r="N97" s="2">
        <f>-Data!O97*LOG(K97)</f>
        <v>0</v>
      </c>
      <c r="O97" s="2">
        <f>SUM(L97:N97)</f>
        <v>0.47712125471966244</v>
      </c>
      <c r="P97" s="2"/>
      <c r="Q97" s="2">
        <f>(I97-Data!M97)*Data!I97</f>
        <v>0.12037037037037032</v>
      </c>
      <c r="R97" s="2">
        <f>($I97-Data!$M97)*Data!J97</f>
        <v>0.13888888888888887</v>
      </c>
      <c r="S97" s="2">
        <f>($I97-Data!$M97)*Data!K97</f>
        <v>0.17514124293785308</v>
      </c>
      <c r="T97" s="2">
        <f>($I97-Data!$M97)*Data!L97</f>
        <v>0.16666666666666666</v>
      </c>
      <c r="U97" s="2">
        <f>($I97-Data!$M97)</f>
        <v>0.33333333333333331</v>
      </c>
      <c r="V97" s="2">
        <f>($J97-Data!$N97)*Data!I97</f>
        <v>-0.2407407407407407</v>
      </c>
      <c r="W97" s="2">
        <f>($J97-Data!$N97)*Data!J97</f>
        <v>-0.27777777777777779</v>
      </c>
      <c r="X97" s="2">
        <f>($J97-Data!$N97)*Data!K97</f>
        <v>-0.35028248587570621</v>
      </c>
      <c r="Y97" s="2">
        <f>($J97-Data!$N97)*Data!L97</f>
        <v>-0.33333333333333337</v>
      </c>
      <c r="Z97" s="2">
        <f>($J97-Data!$N97)</f>
        <v>-0.66666666666666674</v>
      </c>
      <c r="AA97" s="2">
        <f>($K97-Data!$O97)*Data!I97</f>
        <v>0.12037037037037032</v>
      </c>
      <c r="AB97" s="2">
        <f>($K97-Data!$O97)*Data!J97</f>
        <v>0.13888888888888887</v>
      </c>
      <c r="AC97" s="2">
        <f>($K97-Data!$O97)*Data!K97</f>
        <v>0.17514124293785308</v>
      </c>
      <c r="AD97" s="2">
        <f>($K97-Data!$O97)*Data!L97</f>
        <v>0.16666666666666666</v>
      </c>
      <c r="AE97" s="2">
        <f>($K97-Data!$O97)</f>
        <v>0.33333333333333331</v>
      </c>
    </row>
    <row r="98" spans="2:31" x14ac:dyDescent="0.25">
      <c r="B98" s="2">
        <f>B$2*Data!$I98+B$3*Data!$J98+B$4*Data!$K98+B$5*Data!$L98+B$6</f>
        <v>0.25501412429378534</v>
      </c>
      <c r="C98" s="2">
        <f>C$2*Data!$I98+C$3*Data!$J98+C$4*Data!$K98+C$5*Data!$L98+C$6</f>
        <v>0.25501412429378534</v>
      </c>
      <c r="D98" s="2">
        <f>D$2*Data!$I98+D$3*Data!$J98+D$4*Data!$K98+D$5*Data!$L98+D$6</f>
        <v>0.25501412429378534</v>
      </c>
      <c r="E98" s="2">
        <f>EXP(B98)</f>
        <v>1.2904798478606632</v>
      </c>
      <c r="F98" s="2">
        <f>EXP(C98)</f>
        <v>1.2904798478606632</v>
      </c>
      <c r="G98" s="2">
        <f>EXP(D98)</f>
        <v>1.2904798478606632</v>
      </c>
      <c r="H98" s="2">
        <f>SUM(E98:G98)</f>
        <v>3.8714395435819897</v>
      </c>
      <c r="I98" s="2">
        <f>E98/$H98</f>
        <v>0.33333333333333331</v>
      </c>
      <c r="J98" s="2">
        <f>F98/$H98</f>
        <v>0.33333333333333331</v>
      </c>
      <c r="K98" s="2">
        <f>G98/$H98</f>
        <v>0.33333333333333331</v>
      </c>
      <c r="L98" s="2">
        <f>-Data!M98*LOG(I98)</f>
        <v>0</v>
      </c>
      <c r="M98" s="2">
        <f>-Data!N98*LOG(J98)</f>
        <v>0.47712125471966244</v>
      </c>
      <c r="N98" s="2">
        <f>-Data!O98*LOG(K98)</f>
        <v>0</v>
      </c>
      <c r="O98" s="2">
        <f>SUM(L98:N98)</f>
        <v>0.47712125471966244</v>
      </c>
      <c r="P98" s="2"/>
      <c r="Q98" s="2">
        <f>(I98-Data!M98)*Data!I98</f>
        <v>0.1111111111111111</v>
      </c>
      <c r="R98" s="2">
        <f>($I98-Data!$M98)*Data!J98</f>
        <v>6.9444444444444434E-2</v>
      </c>
      <c r="S98" s="2">
        <f>($I98-Data!$M98)*Data!K98</f>
        <v>0.16949152542372881</v>
      </c>
      <c r="T98" s="2">
        <f>($I98-Data!$M98)*Data!L98</f>
        <v>0.16666666666666666</v>
      </c>
      <c r="U98" s="2">
        <f>($I98-Data!$M98)</f>
        <v>0.33333333333333331</v>
      </c>
      <c r="V98" s="2">
        <f>($J98-Data!$N98)*Data!I98</f>
        <v>-0.22222222222222224</v>
      </c>
      <c r="W98" s="2">
        <f>($J98-Data!$N98)*Data!J98</f>
        <v>-0.1388888888888889</v>
      </c>
      <c r="X98" s="2">
        <f>($J98-Data!$N98)*Data!K98</f>
        <v>-0.33898305084745767</v>
      </c>
      <c r="Y98" s="2">
        <f>($J98-Data!$N98)*Data!L98</f>
        <v>-0.33333333333333337</v>
      </c>
      <c r="Z98" s="2">
        <f>($J98-Data!$N98)</f>
        <v>-0.66666666666666674</v>
      </c>
      <c r="AA98" s="2">
        <f>($K98-Data!$O98)*Data!I98</f>
        <v>0.1111111111111111</v>
      </c>
      <c r="AB98" s="2">
        <f>($K98-Data!$O98)*Data!J98</f>
        <v>6.9444444444444434E-2</v>
      </c>
      <c r="AC98" s="2">
        <f>($K98-Data!$O98)*Data!K98</f>
        <v>0.16949152542372881</v>
      </c>
      <c r="AD98" s="2">
        <f>($K98-Data!$O98)*Data!L98</f>
        <v>0.16666666666666666</v>
      </c>
      <c r="AE98" s="2">
        <f>($K98-Data!$O98)</f>
        <v>0.33333333333333331</v>
      </c>
    </row>
    <row r="99" spans="2:31" x14ac:dyDescent="0.25">
      <c r="B99" s="2">
        <f>B$2*Data!$I99+B$3*Data!$J99+B$4*Data!$K99+B$5*Data!$L99+B$6</f>
        <v>0.26179378531073449</v>
      </c>
      <c r="C99" s="2">
        <f>C$2*Data!$I99+C$3*Data!$J99+C$4*Data!$K99+C$5*Data!$L99+C$6</f>
        <v>0.26179378531073449</v>
      </c>
      <c r="D99" s="2">
        <f>D$2*Data!$I99+D$3*Data!$J99+D$4*Data!$K99+D$5*Data!$L99+D$6</f>
        <v>0.26179378531073449</v>
      </c>
      <c r="E99" s="2">
        <f>EXP(B99)</f>
        <v>1.2992585885962002</v>
      </c>
      <c r="F99" s="2">
        <f>EXP(C99)</f>
        <v>1.2992585885962002</v>
      </c>
      <c r="G99" s="2">
        <f>EXP(D99)</f>
        <v>1.2992585885962002</v>
      </c>
      <c r="H99" s="2">
        <f>SUM(E99:G99)</f>
        <v>3.8977757657886007</v>
      </c>
      <c r="I99" s="2">
        <f>E99/$H99</f>
        <v>0.33333333333333331</v>
      </c>
      <c r="J99" s="2">
        <f>F99/$H99</f>
        <v>0.33333333333333331</v>
      </c>
      <c r="K99" s="2">
        <f>G99/$H99</f>
        <v>0.33333333333333331</v>
      </c>
      <c r="L99" s="2">
        <f>-Data!M99*LOG(I99)</f>
        <v>0</v>
      </c>
      <c r="M99" s="2">
        <f>-Data!N99*LOG(J99)</f>
        <v>0.47712125471966244</v>
      </c>
      <c r="N99" s="2">
        <f>-Data!O99*LOG(K99)</f>
        <v>0</v>
      </c>
      <c r="O99" s="2">
        <f>SUM(L99:N99)</f>
        <v>0.47712125471966244</v>
      </c>
      <c r="P99" s="2"/>
      <c r="Q99" s="2">
        <f>(I99-Data!M99)*Data!I99</f>
        <v>0.1111111111111111</v>
      </c>
      <c r="R99" s="2">
        <f>($I99-Data!$M99)*Data!J99</f>
        <v>8.3333333333333329E-2</v>
      </c>
      <c r="S99" s="2">
        <f>($I99-Data!$M99)*Data!K99</f>
        <v>0.19209039548022599</v>
      </c>
      <c r="T99" s="2">
        <f>($I99-Data!$M99)*Data!L99</f>
        <v>0.15277777777777776</v>
      </c>
      <c r="U99" s="2">
        <f>($I99-Data!$M99)</f>
        <v>0.33333333333333331</v>
      </c>
      <c r="V99" s="2">
        <f>($J99-Data!$N99)*Data!I99</f>
        <v>-0.22222222222222224</v>
      </c>
      <c r="W99" s="2">
        <f>($J99-Data!$N99)*Data!J99</f>
        <v>-0.16666666666666669</v>
      </c>
      <c r="X99" s="2">
        <f>($J99-Data!$N99)*Data!K99</f>
        <v>-0.38418079096045205</v>
      </c>
      <c r="Y99" s="2">
        <f>($J99-Data!$N99)*Data!L99</f>
        <v>-0.30555555555555558</v>
      </c>
      <c r="Z99" s="2">
        <f>($J99-Data!$N99)</f>
        <v>-0.66666666666666674</v>
      </c>
      <c r="AA99" s="2">
        <f>($K99-Data!$O99)*Data!I99</f>
        <v>0.1111111111111111</v>
      </c>
      <c r="AB99" s="2">
        <f>($K99-Data!$O99)*Data!J99</f>
        <v>8.3333333333333329E-2</v>
      </c>
      <c r="AC99" s="2">
        <f>($K99-Data!$O99)*Data!K99</f>
        <v>0.19209039548022599</v>
      </c>
      <c r="AD99" s="2">
        <f>($K99-Data!$O99)*Data!L99</f>
        <v>0.15277777777777776</v>
      </c>
      <c r="AE99" s="2">
        <f>($K99-Data!$O99)</f>
        <v>0.33333333333333331</v>
      </c>
    </row>
    <row r="100" spans="2:31" x14ac:dyDescent="0.25">
      <c r="B100" s="2">
        <f>B$2*Data!$I100+B$3*Data!$J100+B$4*Data!$K100+B$5*Data!$L100+B$6</f>
        <v>0.3068502824858757</v>
      </c>
      <c r="C100" s="2">
        <f>C$2*Data!$I100+C$3*Data!$J100+C$4*Data!$K100+C$5*Data!$L100+C$6</f>
        <v>0.3068502824858757</v>
      </c>
      <c r="D100" s="2">
        <f>D$2*Data!$I100+D$3*Data!$J100+D$4*Data!$K100+D$5*Data!$L100+D$6</f>
        <v>0.3068502824858757</v>
      </c>
      <c r="E100" s="2">
        <f>EXP(B100)</f>
        <v>1.3591374661556743</v>
      </c>
      <c r="F100" s="2">
        <f>EXP(C100)</f>
        <v>1.3591374661556743</v>
      </c>
      <c r="G100" s="2">
        <f>EXP(D100)</f>
        <v>1.3591374661556743</v>
      </c>
      <c r="H100" s="2">
        <f>SUM(E100:G100)</f>
        <v>4.0774123984670227</v>
      </c>
      <c r="I100" s="2">
        <f>E100/$H100</f>
        <v>0.33333333333333337</v>
      </c>
      <c r="J100" s="2">
        <f>F100/$H100</f>
        <v>0.33333333333333337</v>
      </c>
      <c r="K100" s="2">
        <f>G100/$H100</f>
        <v>0.33333333333333337</v>
      </c>
      <c r="L100" s="2">
        <f>-Data!M100*LOG(I100)</f>
        <v>0</v>
      </c>
      <c r="M100" s="2">
        <f>-Data!N100*LOG(J100)</f>
        <v>0.47712125471966238</v>
      </c>
      <c r="N100" s="2">
        <f>-Data!O100*LOG(K100)</f>
        <v>0</v>
      </c>
      <c r="O100" s="2">
        <f>SUM(L100:N100)</f>
        <v>0.47712125471966238</v>
      </c>
      <c r="P100" s="2"/>
      <c r="Q100" s="2">
        <f>(I100-Data!M100)*Data!I100</f>
        <v>0.16666666666666666</v>
      </c>
      <c r="R100" s="2">
        <f>($I100-Data!$M100)*Data!J100</f>
        <v>0.1388888888888889</v>
      </c>
      <c r="S100" s="2">
        <f>($I100-Data!$M100)*Data!K100</f>
        <v>0.20338983050847456</v>
      </c>
      <c r="T100" s="2">
        <f>($I100-Data!$M100)*Data!L100</f>
        <v>0.18055555555555555</v>
      </c>
      <c r="U100" s="2">
        <f>($I100-Data!$M100)</f>
        <v>0.33333333333333337</v>
      </c>
      <c r="V100" s="2">
        <f>($J100-Data!$N100)*Data!I100</f>
        <v>-0.33333333333333326</v>
      </c>
      <c r="W100" s="2">
        <f>($J100-Data!$N100)*Data!J100</f>
        <v>-0.27777777777777773</v>
      </c>
      <c r="X100" s="2">
        <f>($J100-Data!$N100)*Data!K100</f>
        <v>-0.40677966101694907</v>
      </c>
      <c r="Y100" s="2">
        <f>($J100-Data!$N100)*Data!L100</f>
        <v>-0.36111111111111105</v>
      </c>
      <c r="Z100" s="2">
        <f>($J100-Data!$N100)</f>
        <v>-0.66666666666666663</v>
      </c>
      <c r="AA100" s="2">
        <f>($K100-Data!$O100)*Data!I100</f>
        <v>0.16666666666666666</v>
      </c>
      <c r="AB100" s="2">
        <f>($K100-Data!$O100)*Data!J100</f>
        <v>0.1388888888888889</v>
      </c>
      <c r="AC100" s="2">
        <f>($K100-Data!$O100)*Data!K100</f>
        <v>0.20338983050847456</v>
      </c>
      <c r="AD100" s="2">
        <f>($K100-Data!$O100)*Data!L100</f>
        <v>0.18055555555555555</v>
      </c>
      <c r="AE100" s="2">
        <f>($K100-Data!$O100)</f>
        <v>0.33333333333333337</v>
      </c>
    </row>
    <row r="101" spans="2:31" x14ac:dyDescent="0.25">
      <c r="B101" s="2">
        <f>B$2*Data!$I101+B$3*Data!$J101+B$4*Data!$K101+B$5*Data!$L101+B$6</f>
        <v>0.26334745762711864</v>
      </c>
      <c r="C101" s="2">
        <f>C$2*Data!$I101+C$3*Data!$J101+C$4*Data!$K101+C$5*Data!$L101+C$6</f>
        <v>0.26334745762711864</v>
      </c>
      <c r="D101" s="2">
        <f>D$2*Data!$I101+D$3*Data!$J101+D$4*Data!$K101+D$5*Data!$L101+D$6</f>
        <v>0.26334745762711864</v>
      </c>
      <c r="E101" s="2">
        <f>EXP(B101)</f>
        <v>1.3012787796482042</v>
      </c>
      <c r="F101" s="2">
        <f>EXP(C101)</f>
        <v>1.3012787796482042</v>
      </c>
      <c r="G101" s="2">
        <f>EXP(D101)</f>
        <v>1.3012787796482042</v>
      </c>
      <c r="H101" s="2">
        <f>SUM(E101:G101)</f>
        <v>3.9038363389446125</v>
      </c>
      <c r="I101" s="2">
        <f>E101/$H101</f>
        <v>0.33333333333333331</v>
      </c>
      <c r="J101" s="2">
        <f>F101/$H101</f>
        <v>0.33333333333333331</v>
      </c>
      <c r="K101" s="2">
        <f>G101/$H101</f>
        <v>0.33333333333333331</v>
      </c>
      <c r="L101" s="2">
        <f>-Data!M101*LOG(I101)</f>
        <v>0</v>
      </c>
      <c r="M101" s="2">
        <f>-Data!N101*LOG(J101)</f>
        <v>0.47712125471966244</v>
      </c>
      <c r="N101" s="2">
        <f>-Data!O101*LOG(K101)</f>
        <v>0</v>
      </c>
      <c r="O101" s="2">
        <f>SUM(L101:N101)</f>
        <v>0.47712125471966244</v>
      </c>
      <c r="P101" s="2"/>
      <c r="Q101" s="2">
        <f>(I101-Data!M101)*Data!I101</f>
        <v>0.13888888888888887</v>
      </c>
      <c r="R101" s="2">
        <f>($I101-Data!$M101)*Data!J101</f>
        <v>8.3333333333333329E-2</v>
      </c>
      <c r="S101" s="2">
        <f>($I101-Data!$M101)*Data!K101</f>
        <v>0.16949152542372881</v>
      </c>
      <c r="T101" s="2">
        <f>($I101-Data!$M101)*Data!L101</f>
        <v>0.15277777777777776</v>
      </c>
      <c r="U101" s="2">
        <f>($I101-Data!$M101)</f>
        <v>0.33333333333333331</v>
      </c>
      <c r="V101" s="2">
        <f>($J101-Data!$N101)*Data!I101</f>
        <v>-0.27777777777777779</v>
      </c>
      <c r="W101" s="2">
        <f>($J101-Data!$N101)*Data!J101</f>
        <v>-0.16666666666666669</v>
      </c>
      <c r="X101" s="2">
        <f>($J101-Data!$N101)*Data!K101</f>
        <v>-0.33898305084745767</v>
      </c>
      <c r="Y101" s="2">
        <f>($J101-Data!$N101)*Data!L101</f>
        <v>-0.30555555555555558</v>
      </c>
      <c r="Z101" s="2">
        <f>($J101-Data!$N101)</f>
        <v>-0.66666666666666674</v>
      </c>
      <c r="AA101" s="2">
        <f>($K101-Data!$O101)*Data!I101</f>
        <v>0.13888888888888887</v>
      </c>
      <c r="AB101" s="2">
        <f>($K101-Data!$O101)*Data!J101</f>
        <v>8.3333333333333329E-2</v>
      </c>
      <c r="AC101" s="2">
        <f>($K101-Data!$O101)*Data!K101</f>
        <v>0.16949152542372881</v>
      </c>
      <c r="AD101" s="2">
        <f>($K101-Data!$O101)*Data!L101</f>
        <v>0.15277777777777776</v>
      </c>
      <c r="AE101" s="2">
        <f>($K101-Data!$O101)</f>
        <v>0.33333333333333331</v>
      </c>
    </row>
    <row r="102" spans="2:31" x14ac:dyDescent="0.25">
      <c r="B102" s="2">
        <f>B$2*Data!$I102+B$3*Data!$J102+B$4*Data!$K102+B$5*Data!$L102+B$6</f>
        <v>0.20842749529190208</v>
      </c>
      <c r="C102" s="2">
        <f>C$2*Data!$I102+C$3*Data!$J102+C$4*Data!$K102+C$5*Data!$L102+C$6</f>
        <v>0.20842749529190208</v>
      </c>
      <c r="D102" s="2">
        <f>D$2*Data!$I102+D$3*Data!$J102+D$4*Data!$K102+D$5*Data!$L102+D$6</f>
        <v>0.20842749529190208</v>
      </c>
      <c r="E102" s="2">
        <f>EXP(B102)</f>
        <v>1.2317396199016839</v>
      </c>
      <c r="F102" s="2">
        <f>EXP(C102)</f>
        <v>1.2317396199016839</v>
      </c>
      <c r="G102" s="2">
        <f>EXP(D102)</f>
        <v>1.2317396199016839</v>
      </c>
      <c r="H102" s="2">
        <f>SUM(E102:G102)</f>
        <v>3.6952188597050517</v>
      </c>
      <c r="I102" s="2">
        <f>E102/$H102</f>
        <v>0.33333333333333331</v>
      </c>
      <c r="J102" s="2">
        <f>F102/$H102</f>
        <v>0.33333333333333331</v>
      </c>
      <c r="K102" s="2">
        <f>G102/$H102</f>
        <v>0.33333333333333331</v>
      </c>
      <c r="L102" s="2">
        <f>-Data!M102*LOG(I102)</f>
        <v>0</v>
      </c>
      <c r="M102" s="2">
        <f>-Data!N102*LOG(J102)</f>
        <v>0.47712125471966244</v>
      </c>
      <c r="N102" s="2">
        <f>-Data!O102*LOG(K102)</f>
        <v>0</v>
      </c>
      <c r="O102" s="2">
        <f>SUM(L102:N102)</f>
        <v>0.47712125471966244</v>
      </c>
      <c r="P102" s="2"/>
      <c r="Q102" s="2">
        <f>(I102-Data!M102)*Data!I102</f>
        <v>6.4814814814814825E-2</v>
      </c>
      <c r="R102" s="2">
        <f>($I102-Data!$M102)*Data!J102</f>
        <v>4.166666666666663E-2</v>
      </c>
      <c r="S102" s="2">
        <f>($I102-Data!$M102)*Data!K102</f>
        <v>0.12994350282485873</v>
      </c>
      <c r="T102" s="2">
        <f>($I102-Data!$M102)*Data!L102</f>
        <v>0.125</v>
      </c>
      <c r="U102" s="2">
        <f>($I102-Data!$M102)</f>
        <v>0.33333333333333331</v>
      </c>
      <c r="V102" s="2">
        <f>($J102-Data!$N102)*Data!I102</f>
        <v>-0.12962962962962968</v>
      </c>
      <c r="W102" s="2">
        <f>($J102-Data!$N102)*Data!J102</f>
        <v>-8.3333333333333273E-2</v>
      </c>
      <c r="X102" s="2">
        <f>($J102-Data!$N102)*Data!K102</f>
        <v>-0.25988700564971751</v>
      </c>
      <c r="Y102" s="2">
        <f>($J102-Data!$N102)*Data!L102</f>
        <v>-0.25</v>
      </c>
      <c r="Z102" s="2">
        <f>($J102-Data!$N102)</f>
        <v>-0.66666666666666674</v>
      </c>
      <c r="AA102" s="2">
        <f>($K102-Data!$O102)*Data!I102</f>
        <v>6.4814814814814825E-2</v>
      </c>
      <c r="AB102" s="2">
        <f>($K102-Data!$O102)*Data!J102</f>
        <v>4.166666666666663E-2</v>
      </c>
      <c r="AC102" s="2">
        <f>($K102-Data!$O102)*Data!K102</f>
        <v>0.12994350282485873</v>
      </c>
      <c r="AD102" s="2">
        <f>($K102-Data!$O102)*Data!L102</f>
        <v>0.125</v>
      </c>
      <c r="AE102" s="2">
        <f>($K102-Data!$O102)</f>
        <v>0.33333333333333331</v>
      </c>
    </row>
    <row r="103" spans="2:31" x14ac:dyDescent="0.25">
      <c r="B103" s="2">
        <f>B$2*Data!$I103+B$3*Data!$J103+B$4*Data!$K103+B$5*Data!$L103+B$6</f>
        <v>0.26951506591337104</v>
      </c>
      <c r="C103" s="2">
        <f>C$2*Data!$I103+C$3*Data!$J103+C$4*Data!$K103+C$5*Data!$L103+C$6</f>
        <v>0.26951506591337104</v>
      </c>
      <c r="D103" s="2">
        <f>D$2*Data!$I103+D$3*Data!$J103+D$4*Data!$K103+D$5*Data!$L103+D$6</f>
        <v>0.26951506591337104</v>
      </c>
      <c r="E103" s="2">
        <f>EXP(B103)</f>
        <v>1.3093293583202399</v>
      </c>
      <c r="F103" s="2">
        <f>EXP(C103)</f>
        <v>1.3093293583202399</v>
      </c>
      <c r="G103" s="2">
        <f>EXP(D103)</f>
        <v>1.3093293583202399</v>
      </c>
      <c r="H103" s="2">
        <f>SUM(E103:G103)</f>
        <v>3.9279880749607194</v>
      </c>
      <c r="I103" s="2">
        <f>E103/$H103</f>
        <v>0.33333333333333337</v>
      </c>
      <c r="J103" s="2">
        <f>F103/$H103</f>
        <v>0.33333333333333337</v>
      </c>
      <c r="K103" s="2">
        <f>G103/$H103</f>
        <v>0.33333333333333337</v>
      </c>
      <c r="L103" s="2">
        <f>-Data!M103*LOG(I103)</f>
        <v>0</v>
      </c>
      <c r="M103" s="2">
        <f>-Data!N103*LOG(J103)</f>
        <v>0.47712125471966238</v>
      </c>
      <c r="N103" s="2">
        <f>-Data!O103*LOG(K103)</f>
        <v>0</v>
      </c>
      <c r="O103" s="2">
        <f>SUM(L103:N103)</f>
        <v>0.47712125471966238</v>
      </c>
      <c r="P103" s="2"/>
      <c r="Q103" s="2">
        <f>(I103-Data!M103)*Data!I103</f>
        <v>0.12037037037037035</v>
      </c>
      <c r="R103" s="2">
        <f>($I103-Data!$M103)*Data!J103</f>
        <v>9.7222222222222238E-2</v>
      </c>
      <c r="S103" s="2">
        <f>($I103-Data!$M103)*Data!K103</f>
        <v>0.18079096045197743</v>
      </c>
      <c r="T103" s="2">
        <f>($I103-Data!$M103)*Data!L103</f>
        <v>0.16666666666666669</v>
      </c>
      <c r="U103" s="2">
        <f>($I103-Data!$M103)</f>
        <v>0.33333333333333337</v>
      </c>
      <c r="V103" s="2">
        <f>($J103-Data!$N103)*Data!I103</f>
        <v>-0.24074074074074064</v>
      </c>
      <c r="W103" s="2">
        <f>($J103-Data!$N103)*Data!J103</f>
        <v>-0.19444444444444445</v>
      </c>
      <c r="X103" s="2">
        <f>($J103-Data!$N103)*Data!K103</f>
        <v>-0.3615819209039548</v>
      </c>
      <c r="Y103" s="2">
        <f>($J103-Data!$N103)*Data!L103</f>
        <v>-0.33333333333333331</v>
      </c>
      <c r="Z103" s="2">
        <f>($J103-Data!$N103)</f>
        <v>-0.66666666666666663</v>
      </c>
      <c r="AA103" s="2">
        <f>($K103-Data!$O103)*Data!I103</f>
        <v>0.12037037037037035</v>
      </c>
      <c r="AB103" s="2">
        <f>($K103-Data!$O103)*Data!J103</f>
        <v>9.7222222222222238E-2</v>
      </c>
      <c r="AC103" s="2">
        <f>($K103-Data!$O103)*Data!K103</f>
        <v>0.18079096045197743</v>
      </c>
      <c r="AD103" s="2">
        <f>($K103-Data!$O103)*Data!L103</f>
        <v>0.16666666666666669</v>
      </c>
      <c r="AE103" s="2">
        <f>($K103-Data!$O103)</f>
        <v>0.33333333333333337</v>
      </c>
    </row>
    <row r="104" spans="2:31" x14ac:dyDescent="0.25">
      <c r="B104" s="2">
        <f>B$2*Data!$I104+B$3*Data!$J104+B$4*Data!$K104+B$5*Data!$L104+B$6</f>
        <v>0.28062617702448212</v>
      </c>
      <c r="C104" s="2">
        <f>C$2*Data!$I104+C$3*Data!$J104+C$4*Data!$K104+C$5*Data!$L104+C$6</f>
        <v>0.28062617702448212</v>
      </c>
      <c r="D104" s="2">
        <f>D$2*Data!$I104+D$3*Data!$J104+D$4*Data!$K104+D$5*Data!$L104+D$6</f>
        <v>0.28062617702448212</v>
      </c>
      <c r="E104" s="2">
        <f>EXP(B104)</f>
        <v>1.3239585852785372</v>
      </c>
      <c r="F104" s="2">
        <f>EXP(C104)</f>
        <v>1.3239585852785372</v>
      </c>
      <c r="G104" s="2">
        <f>EXP(D104)</f>
        <v>1.3239585852785372</v>
      </c>
      <c r="H104" s="2">
        <f>SUM(E104:G104)</f>
        <v>3.9718757558356117</v>
      </c>
      <c r="I104" s="2">
        <f>E104/$H104</f>
        <v>0.33333333333333331</v>
      </c>
      <c r="J104" s="2">
        <f>F104/$H104</f>
        <v>0.33333333333333331</v>
      </c>
      <c r="K104" s="2">
        <f>G104/$H104</f>
        <v>0.33333333333333331</v>
      </c>
      <c r="L104" s="2">
        <f>-Data!M104*LOG(I104)</f>
        <v>0</v>
      </c>
      <c r="M104" s="2">
        <f>-Data!N104*LOG(J104)</f>
        <v>0.47712125471966244</v>
      </c>
      <c r="N104" s="2">
        <f>-Data!O104*LOG(K104)</f>
        <v>0</v>
      </c>
      <c r="O104" s="2">
        <f>SUM(L104:N104)</f>
        <v>0.47712125471966244</v>
      </c>
      <c r="P104" s="2"/>
      <c r="Q104" s="2">
        <f>(I104-Data!M104)*Data!I104</f>
        <v>0.12962962962962965</v>
      </c>
      <c r="R104" s="2">
        <f>($I104-Data!$M104)*Data!J104</f>
        <v>0.13888888888888887</v>
      </c>
      <c r="S104" s="2">
        <f>($I104-Data!$M104)*Data!K104</f>
        <v>0.1807909604519774</v>
      </c>
      <c r="T104" s="2">
        <f>($I104-Data!$M104)*Data!L104</f>
        <v>0.15277777777777776</v>
      </c>
      <c r="U104" s="2">
        <f>($I104-Data!$M104)</f>
        <v>0.33333333333333331</v>
      </c>
      <c r="V104" s="2">
        <f>($J104-Data!$N104)*Data!I104</f>
        <v>-0.25925925925925936</v>
      </c>
      <c r="W104" s="2">
        <f>($J104-Data!$N104)*Data!J104</f>
        <v>-0.27777777777777779</v>
      </c>
      <c r="X104" s="2">
        <f>($J104-Data!$N104)*Data!K104</f>
        <v>-0.36158192090395486</v>
      </c>
      <c r="Y104" s="2">
        <f>($J104-Data!$N104)*Data!L104</f>
        <v>-0.30555555555555558</v>
      </c>
      <c r="Z104" s="2">
        <f>($J104-Data!$N104)</f>
        <v>-0.66666666666666674</v>
      </c>
      <c r="AA104" s="2">
        <f>($K104-Data!$O104)*Data!I104</f>
        <v>0.12962962962962965</v>
      </c>
      <c r="AB104" s="2">
        <f>($K104-Data!$O104)*Data!J104</f>
        <v>0.13888888888888887</v>
      </c>
      <c r="AC104" s="2">
        <f>($K104-Data!$O104)*Data!K104</f>
        <v>0.1807909604519774</v>
      </c>
      <c r="AD104" s="2">
        <f>($K104-Data!$O104)*Data!L104</f>
        <v>0.15277777777777776</v>
      </c>
      <c r="AE104" s="2">
        <f>($K104-Data!$O104)</f>
        <v>0.33333333333333331</v>
      </c>
    </row>
    <row r="105" spans="2:31" x14ac:dyDescent="0.25">
      <c r="B105" s="2">
        <f>B$2*Data!$I105+B$3*Data!$J105+B$4*Data!$K105+B$5*Data!$L105+B$6</f>
        <v>0.28062617702448212</v>
      </c>
      <c r="C105" s="2">
        <f>C$2*Data!$I105+C$3*Data!$J105+C$4*Data!$K105+C$5*Data!$L105+C$6</f>
        <v>0.28062617702448212</v>
      </c>
      <c r="D105" s="2">
        <f>D$2*Data!$I105+D$3*Data!$J105+D$4*Data!$K105+D$5*Data!$L105+D$6</f>
        <v>0.28062617702448212</v>
      </c>
      <c r="E105" s="2">
        <f>EXP(B105)</f>
        <v>1.3239585852785372</v>
      </c>
      <c r="F105" s="2">
        <f>EXP(C105)</f>
        <v>1.3239585852785372</v>
      </c>
      <c r="G105" s="2">
        <f>EXP(D105)</f>
        <v>1.3239585852785372</v>
      </c>
      <c r="H105" s="2">
        <f>SUM(E105:G105)</f>
        <v>3.9718757558356117</v>
      </c>
      <c r="I105" s="2">
        <f>E105/$H105</f>
        <v>0.33333333333333331</v>
      </c>
      <c r="J105" s="2">
        <f>F105/$H105</f>
        <v>0.33333333333333331</v>
      </c>
      <c r="K105" s="2">
        <f>G105/$H105</f>
        <v>0.33333333333333331</v>
      </c>
      <c r="L105" s="2">
        <f>-Data!M105*LOG(I105)</f>
        <v>0</v>
      </c>
      <c r="M105" s="2">
        <f>-Data!N105*LOG(J105)</f>
        <v>0.47712125471966244</v>
      </c>
      <c r="N105" s="2">
        <f>-Data!O105*LOG(K105)</f>
        <v>0</v>
      </c>
      <c r="O105" s="2">
        <f>SUM(L105:N105)</f>
        <v>0.47712125471966244</v>
      </c>
      <c r="P105" s="2"/>
      <c r="Q105" s="2">
        <f>(I105-Data!M105)*Data!I105</f>
        <v>0.12962962962962965</v>
      </c>
      <c r="R105" s="2">
        <f>($I105-Data!$M105)*Data!J105</f>
        <v>0.12499999999999996</v>
      </c>
      <c r="S105" s="2">
        <f>($I105-Data!$M105)*Data!K105</f>
        <v>0.1807909604519774</v>
      </c>
      <c r="T105" s="2">
        <f>($I105-Data!$M105)*Data!L105</f>
        <v>0.16666666666666666</v>
      </c>
      <c r="U105" s="2">
        <f>($I105-Data!$M105)</f>
        <v>0.33333333333333331</v>
      </c>
      <c r="V105" s="2">
        <f>($J105-Data!$N105)*Data!I105</f>
        <v>-0.25925925925925936</v>
      </c>
      <c r="W105" s="2">
        <f>($J105-Data!$N105)*Data!J105</f>
        <v>-0.24999999999999994</v>
      </c>
      <c r="X105" s="2">
        <f>($J105-Data!$N105)*Data!K105</f>
        <v>-0.36158192090395486</v>
      </c>
      <c r="Y105" s="2">
        <f>($J105-Data!$N105)*Data!L105</f>
        <v>-0.33333333333333337</v>
      </c>
      <c r="Z105" s="2">
        <f>($J105-Data!$N105)</f>
        <v>-0.66666666666666674</v>
      </c>
      <c r="AA105" s="2">
        <f>($K105-Data!$O105)*Data!I105</f>
        <v>0.12962962962962965</v>
      </c>
      <c r="AB105" s="2">
        <f>($K105-Data!$O105)*Data!J105</f>
        <v>0.12499999999999996</v>
      </c>
      <c r="AC105" s="2">
        <f>($K105-Data!$O105)*Data!K105</f>
        <v>0.1807909604519774</v>
      </c>
      <c r="AD105" s="2">
        <f>($K105-Data!$O105)*Data!L105</f>
        <v>0.16666666666666666</v>
      </c>
      <c r="AE105" s="2">
        <f>($K105-Data!$O105)</f>
        <v>0.33333333333333331</v>
      </c>
    </row>
    <row r="106" spans="2:31" x14ac:dyDescent="0.25">
      <c r="B106" s="2">
        <f>B$2*Data!$I106+B$3*Data!$J106+B$4*Data!$K106+B$5*Data!$L106+B$6</f>
        <v>0.29620998116760833</v>
      </c>
      <c r="C106" s="2">
        <f>C$2*Data!$I106+C$3*Data!$J106+C$4*Data!$K106+C$5*Data!$L106+C$6</f>
        <v>0.29620998116760833</v>
      </c>
      <c r="D106" s="2">
        <f>D$2*Data!$I106+D$3*Data!$J106+D$4*Data!$K106+D$5*Data!$L106+D$6</f>
        <v>0.29620998116760833</v>
      </c>
      <c r="E106" s="2">
        <f>EXP(B106)</f>
        <v>1.3447524998877236</v>
      </c>
      <c r="F106" s="2">
        <f>EXP(C106)</f>
        <v>1.3447524998877236</v>
      </c>
      <c r="G106" s="2">
        <f>EXP(D106)</f>
        <v>1.3447524998877236</v>
      </c>
      <c r="H106" s="2">
        <f>SUM(E106:G106)</f>
        <v>4.0342574996631706</v>
      </c>
      <c r="I106" s="2">
        <f>E106/$H106</f>
        <v>0.33333333333333337</v>
      </c>
      <c r="J106" s="2">
        <f>F106/$H106</f>
        <v>0.33333333333333337</v>
      </c>
      <c r="K106" s="2">
        <f>G106/$H106</f>
        <v>0.33333333333333337</v>
      </c>
      <c r="L106" s="2">
        <f>-Data!M106*LOG(I106)</f>
        <v>0</v>
      </c>
      <c r="M106" s="2">
        <f>-Data!N106*LOG(J106)</f>
        <v>0.47712125471966238</v>
      </c>
      <c r="N106" s="2">
        <f>-Data!O106*LOG(K106)</f>
        <v>0</v>
      </c>
      <c r="O106" s="2">
        <f>SUM(L106:N106)</f>
        <v>0.47712125471966238</v>
      </c>
      <c r="P106" s="2"/>
      <c r="Q106" s="2">
        <f>(I106-Data!M106)*Data!I106</f>
        <v>0.17592592592592596</v>
      </c>
      <c r="R106" s="2">
        <f>($I106-Data!$M106)*Data!J106</f>
        <v>0.12499999999999997</v>
      </c>
      <c r="S106" s="2">
        <f>($I106-Data!$M106)*Data!K106</f>
        <v>0.1864406779661017</v>
      </c>
      <c r="T106" s="2">
        <f>($I106-Data!$M106)*Data!L106</f>
        <v>0.16666666666666669</v>
      </c>
      <c r="U106" s="2">
        <f>($I106-Data!$M106)</f>
        <v>0.33333333333333337</v>
      </c>
      <c r="V106" s="2">
        <f>($J106-Data!$N106)*Data!I106</f>
        <v>-0.35185185185185186</v>
      </c>
      <c r="W106" s="2">
        <f>($J106-Data!$N106)*Data!J106</f>
        <v>-0.24999999999999992</v>
      </c>
      <c r="X106" s="2">
        <f>($J106-Data!$N106)*Data!K106</f>
        <v>-0.37288135593220334</v>
      </c>
      <c r="Y106" s="2">
        <f>($J106-Data!$N106)*Data!L106</f>
        <v>-0.33333333333333331</v>
      </c>
      <c r="Z106" s="2">
        <f>($J106-Data!$N106)</f>
        <v>-0.66666666666666663</v>
      </c>
      <c r="AA106" s="2">
        <f>($K106-Data!$O106)*Data!I106</f>
        <v>0.17592592592592596</v>
      </c>
      <c r="AB106" s="2">
        <f>($K106-Data!$O106)*Data!J106</f>
        <v>0.12499999999999997</v>
      </c>
      <c r="AC106" s="2">
        <f>($K106-Data!$O106)*Data!K106</f>
        <v>0.1864406779661017</v>
      </c>
      <c r="AD106" s="2">
        <f>($K106-Data!$O106)*Data!L106</f>
        <v>0.16666666666666669</v>
      </c>
      <c r="AE106" s="2">
        <f>($K106-Data!$O106)</f>
        <v>0.33333333333333337</v>
      </c>
    </row>
    <row r="107" spans="2:31" x14ac:dyDescent="0.25">
      <c r="B107" s="2">
        <f>B$2*Data!$I107+B$3*Data!$J107+B$4*Data!$K107+B$5*Data!$L107+B$6</f>
        <v>0.21862052730696796</v>
      </c>
      <c r="C107" s="2">
        <f>C$2*Data!$I107+C$3*Data!$J107+C$4*Data!$K107+C$5*Data!$L107+C$6</f>
        <v>0.21862052730696796</v>
      </c>
      <c r="D107" s="2">
        <f>D$2*Data!$I107+D$3*Data!$J107+D$4*Data!$K107+D$5*Data!$L107+D$6</f>
        <v>0.21862052730696796</v>
      </c>
      <c r="E107" s="2">
        <f>EXP(B107)</f>
        <v>1.2443589868268161</v>
      </c>
      <c r="F107" s="2">
        <f>EXP(C107)</f>
        <v>1.2443589868268161</v>
      </c>
      <c r="G107" s="2">
        <f>EXP(D107)</f>
        <v>1.2443589868268161</v>
      </c>
      <c r="H107" s="2">
        <f>SUM(E107:G107)</f>
        <v>3.7330769604804486</v>
      </c>
      <c r="I107" s="2">
        <f>E107/$H107</f>
        <v>0.33333333333333331</v>
      </c>
      <c r="J107" s="2">
        <f>F107/$H107</f>
        <v>0.33333333333333331</v>
      </c>
      <c r="K107" s="2">
        <f>G107/$H107</f>
        <v>0.33333333333333331</v>
      </c>
      <c r="L107" s="2">
        <f>-Data!M107*LOG(I107)</f>
        <v>0</v>
      </c>
      <c r="M107" s="2">
        <f>-Data!N107*LOG(J107)</f>
        <v>0.47712125471966244</v>
      </c>
      <c r="N107" s="2">
        <f>-Data!O107*LOG(K107)</f>
        <v>0</v>
      </c>
      <c r="O107" s="2">
        <f>SUM(L107:N107)</f>
        <v>0.47712125471966244</v>
      </c>
      <c r="P107" s="2"/>
      <c r="Q107" s="2">
        <f>(I107-Data!M107)*Data!I107</f>
        <v>7.4074074074074042E-2</v>
      </c>
      <c r="R107" s="2">
        <f>($I107-Data!$M107)*Data!J107</f>
        <v>6.9444444444444434E-2</v>
      </c>
      <c r="S107" s="2">
        <f>($I107-Data!$M107)*Data!K107</f>
        <v>0.11299435028248586</v>
      </c>
      <c r="T107" s="2">
        <f>($I107-Data!$M107)*Data!L107</f>
        <v>0.1388888888888889</v>
      </c>
      <c r="U107" s="2">
        <f>($I107-Data!$M107)</f>
        <v>0.33333333333333331</v>
      </c>
      <c r="V107" s="2">
        <f>($J107-Data!$N107)*Data!I107</f>
        <v>-0.14814814814814811</v>
      </c>
      <c r="W107" s="2">
        <f>($J107-Data!$N107)*Data!J107</f>
        <v>-0.1388888888888889</v>
      </c>
      <c r="X107" s="2">
        <f>($J107-Data!$N107)*Data!K107</f>
        <v>-0.22598870056497178</v>
      </c>
      <c r="Y107" s="2">
        <f>($J107-Data!$N107)*Data!L107</f>
        <v>-0.27777777777777785</v>
      </c>
      <c r="Z107" s="2">
        <f>($J107-Data!$N107)</f>
        <v>-0.66666666666666674</v>
      </c>
      <c r="AA107" s="2">
        <f>($K107-Data!$O107)*Data!I107</f>
        <v>7.4074074074074042E-2</v>
      </c>
      <c r="AB107" s="2">
        <f>($K107-Data!$O107)*Data!J107</f>
        <v>6.9444444444444434E-2</v>
      </c>
      <c r="AC107" s="2">
        <f>($K107-Data!$O107)*Data!K107</f>
        <v>0.11299435028248586</v>
      </c>
      <c r="AD107" s="2">
        <f>($K107-Data!$O107)*Data!L107</f>
        <v>0.1388888888888889</v>
      </c>
      <c r="AE107" s="2">
        <f>($K107-Data!$O107)</f>
        <v>0.33333333333333331</v>
      </c>
    </row>
    <row r="108" spans="2:31" x14ac:dyDescent="0.25">
      <c r="B108" s="2">
        <f>B$2*Data!$I108+B$3*Data!$J108+B$4*Data!$K108+B$5*Data!$L108+B$6</f>
        <v>0.2747645951035782</v>
      </c>
      <c r="C108" s="2">
        <f>C$2*Data!$I108+C$3*Data!$J108+C$4*Data!$K108+C$5*Data!$L108+C$6</f>
        <v>0.2747645951035782</v>
      </c>
      <c r="D108" s="2">
        <f>D$2*Data!$I108+D$3*Data!$J108+D$4*Data!$K108+D$5*Data!$L108+D$6</f>
        <v>0.2747645951035782</v>
      </c>
      <c r="E108" s="2">
        <f>EXP(B108)</f>
        <v>1.316220793575686</v>
      </c>
      <c r="F108" s="2">
        <f>EXP(C108)</f>
        <v>1.316220793575686</v>
      </c>
      <c r="G108" s="2">
        <f>EXP(D108)</f>
        <v>1.316220793575686</v>
      </c>
      <c r="H108" s="2">
        <f>SUM(E108:G108)</f>
        <v>3.948662380727058</v>
      </c>
      <c r="I108" s="2">
        <f>E108/$H108</f>
        <v>0.33333333333333331</v>
      </c>
      <c r="J108" s="2">
        <f>F108/$H108</f>
        <v>0.33333333333333331</v>
      </c>
      <c r="K108" s="2">
        <f>G108/$H108</f>
        <v>0.33333333333333331</v>
      </c>
      <c r="L108" s="2">
        <f>-Data!M108*LOG(I108)</f>
        <v>0</v>
      </c>
      <c r="M108" s="2">
        <f>-Data!N108*LOG(J108)</f>
        <v>0.47712125471966244</v>
      </c>
      <c r="N108" s="2">
        <f>-Data!O108*LOG(K108)</f>
        <v>0</v>
      </c>
      <c r="O108" s="2">
        <f>SUM(L108:N108)</f>
        <v>0.47712125471966244</v>
      </c>
      <c r="P108" s="2"/>
      <c r="Q108" s="2">
        <f>(I108-Data!M108)*Data!I108</f>
        <v>0.12962962962962965</v>
      </c>
      <c r="R108" s="2">
        <f>($I108-Data!$M108)*Data!J108</f>
        <v>0.11111111111111106</v>
      </c>
      <c r="S108" s="2">
        <f>($I108-Data!$M108)*Data!K108</f>
        <v>0.17514124293785308</v>
      </c>
      <c r="T108" s="2">
        <f>($I108-Data!$M108)*Data!L108</f>
        <v>0.16666666666666666</v>
      </c>
      <c r="U108" s="2">
        <f>($I108-Data!$M108)</f>
        <v>0.33333333333333331</v>
      </c>
      <c r="V108" s="2">
        <f>($J108-Data!$N108)*Data!I108</f>
        <v>-0.25925925925925936</v>
      </c>
      <c r="W108" s="2">
        <f>($J108-Data!$N108)*Data!J108</f>
        <v>-0.22222222222222215</v>
      </c>
      <c r="X108" s="2">
        <f>($J108-Data!$N108)*Data!K108</f>
        <v>-0.35028248587570621</v>
      </c>
      <c r="Y108" s="2">
        <f>($J108-Data!$N108)*Data!L108</f>
        <v>-0.33333333333333337</v>
      </c>
      <c r="Z108" s="2">
        <f>($J108-Data!$N108)</f>
        <v>-0.66666666666666674</v>
      </c>
      <c r="AA108" s="2">
        <f>($K108-Data!$O108)*Data!I108</f>
        <v>0.12962962962962965</v>
      </c>
      <c r="AB108" s="2">
        <f>($K108-Data!$O108)*Data!J108</f>
        <v>0.11111111111111106</v>
      </c>
      <c r="AC108" s="2">
        <f>($K108-Data!$O108)*Data!K108</f>
        <v>0.17514124293785308</v>
      </c>
      <c r="AD108" s="2">
        <f>($K108-Data!$O108)*Data!L108</f>
        <v>0.16666666666666666</v>
      </c>
      <c r="AE108" s="2">
        <f>($K108-Data!$O108)</f>
        <v>0.33333333333333331</v>
      </c>
    </row>
    <row r="109" spans="2:31" x14ac:dyDescent="0.25">
      <c r="B109" s="2">
        <f>B$2*Data!$I109+B$3*Data!$J109+B$4*Data!$K109+B$5*Data!$L109+B$6</f>
        <v>0.39446798493408664</v>
      </c>
      <c r="C109" s="2">
        <f>C$2*Data!$I109+C$3*Data!$J109+C$4*Data!$K109+C$5*Data!$L109+C$6</f>
        <v>0.39446798493408664</v>
      </c>
      <c r="D109" s="2">
        <f>D$2*Data!$I109+D$3*Data!$J109+D$4*Data!$K109+D$5*Data!$L109+D$6</f>
        <v>0.39446798493408664</v>
      </c>
      <c r="E109" s="2">
        <f>EXP(B109)</f>
        <v>1.4835946862005651</v>
      </c>
      <c r="F109" s="2">
        <f>EXP(C109)</f>
        <v>1.4835946862005651</v>
      </c>
      <c r="G109" s="2">
        <f>EXP(D109)</f>
        <v>1.4835946862005651</v>
      </c>
      <c r="H109" s="2">
        <f>SUM(E109:G109)</f>
        <v>4.4507840586016956</v>
      </c>
      <c r="I109" s="2">
        <f>E109/$H109</f>
        <v>0.33333333333333331</v>
      </c>
      <c r="J109" s="2">
        <f>F109/$H109</f>
        <v>0.33333333333333331</v>
      </c>
      <c r="K109" s="2">
        <f>G109/$H109</f>
        <v>0.33333333333333331</v>
      </c>
      <c r="L109" s="2">
        <f>-Data!M109*LOG(I109)</f>
        <v>0</v>
      </c>
      <c r="M109" s="2">
        <f>-Data!N109*LOG(J109)</f>
        <v>0</v>
      </c>
      <c r="N109" s="2">
        <f>-Data!O109*LOG(K109)</f>
        <v>0.47712125471966244</v>
      </c>
      <c r="O109" s="2">
        <f>SUM(L109:N109)</f>
        <v>0.47712125471966244</v>
      </c>
      <c r="P109" s="2"/>
      <c r="Q109" s="2">
        <f>(I109-Data!M109)*Data!I109</f>
        <v>0.18518518518518515</v>
      </c>
      <c r="R109" s="2">
        <f>($I109-Data!$M109)*Data!J109</f>
        <v>0.1805555555555555</v>
      </c>
      <c r="S109" s="2">
        <f>($I109-Data!$M109)*Data!K109</f>
        <v>0.28248587570621464</v>
      </c>
      <c r="T109" s="2">
        <f>($I109-Data!$M109)*Data!L109</f>
        <v>0.33333333333333331</v>
      </c>
      <c r="U109" s="2">
        <f>($I109-Data!$M109)</f>
        <v>0.33333333333333331</v>
      </c>
      <c r="V109" s="2">
        <f>($J109-Data!$N109)*Data!I109</f>
        <v>0.18518518518518515</v>
      </c>
      <c r="W109" s="2">
        <f>($J109-Data!$N109)*Data!J109</f>
        <v>0.1805555555555555</v>
      </c>
      <c r="X109" s="2">
        <f>($J109-Data!$N109)*Data!K109</f>
        <v>0.28248587570621464</v>
      </c>
      <c r="Y109" s="2">
        <f>($J109-Data!$N109)*Data!L109</f>
        <v>0.33333333333333331</v>
      </c>
      <c r="Z109" s="2">
        <f>($J109-Data!$N109)</f>
        <v>0.33333333333333331</v>
      </c>
      <c r="AA109" s="2">
        <f>($K109-Data!$O109)*Data!I109</f>
        <v>-0.37037037037037035</v>
      </c>
      <c r="AB109" s="2">
        <f>($K109-Data!$O109)*Data!J109</f>
        <v>-0.36111111111111105</v>
      </c>
      <c r="AC109" s="2">
        <f>($K109-Data!$O109)*Data!K109</f>
        <v>-0.56497175141242939</v>
      </c>
      <c r="AD109" s="2">
        <f>($K109-Data!$O109)*Data!L109</f>
        <v>-0.66666666666666674</v>
      </c>
      <c r="AE109" s="2">
        <f>($K109-Data!$O109)</f>
        <v>-0.66666666666666674</v>
      </c>
    </row>
    <row r="110" spans="2:31" x14ac:dyDescent="0.25">
      <c r="B110" s="2">
        <f>B$2*Data!$I110+B$3*Data!$J110+B$4*Data!$K110+B$5*Data!$L110+B$6</f>
        <v>0.31532485875706218</v>
      </c>
      <c r="C110" s="2">
        <f>C$2*Data!$I110+C$3*Data!$J110+C$4*Data!$K110+C$5*Data!$L110+C$6</f>
        <v>0.31532485875706218</v>
      </c>
      <c r="D110" s="2">
        <f>D$2*Data!$I110+D$3*Data!$J110+D$4*Data!$K110+D$5*Data!$L110+D$6</f>
        <v>0.31532485875706218</v>
      </c>
      <c r="E110" s="2">
        <f>EXP(B110)</f>
        <v>1.3707045240053704</v>
      </c>
      <c r="F110" s="2">
        <f>EXP(C110)</f>
        <v>1.3707045240053704</v>
      </c>
      <c r="G110" s="2">
        <f>EXP(D110)</f>
        <v>1.3707045240053704</v>
      </c>
      <c r="H110" s="2">
        <f>SUM(E110:G110)</f>
        <v>4.1121135720161108</v>
      </c>
      <c r="I110" s="2">
        <f>E110/$H110</f>
        <v>0.33333333333333337</v>
      </c>
      <c r="J110" s="2">
        <f>F110/$H110</f>
        <v>0.33333333333333337</v>
      </c>
      <c r="K110" s="2">
        <f>G110/$H110</f>
        <v>0.33333333333333337</v>
      </c>
      <c r="L110" s="2">
        <f>-Data!M110*LOG(I110)</f>
        <v>0</v>
      </c>
      <c r="M110" s="2">
        <f>-Data!N110*LOG(J110)</f>
        <v>0</v>
      </c>
      <c r="N110" s="2">
        <f>-Data!O110*LOG(K110)</f>
        <v>0.47712125471966238</v>
      </c>
      <c r="O110" s="2">
        <f>SUM(L110:N110)</f>
        <v>0.47712125471966238</v>
      </c>
      <c r="P110" s="2"/>
      <c r="Q110" s="2">
        <f>(I110-Data!M110)*Data!I110</f>
        <v>0.1388888888888889</v>
      </c>
      <c r="R110" s="2">
        <f>($I110-Data!$M110)*Data!J110</f>
        <v>9.7222222222222238E-2</v>
      </c>
      <c r="S110" s="2">
        <f>($I110-Data!$M110)*Data!K110</f>
        <v>0.23163841807909605</v>
      </c>
      <c r="T110" s="2">
        <f>($I110-Data!$M110)*Data!L110</f>
        <v>0.25</v>
      </c>
      <c r="U110" s="2">
        <f>($I110-Data!$M110)</f>
        <v>0.33333333333333337</v>
      </c>
      <c r="V110" s="2">
        <f>($J110-Data!$N110)*Data!I110</f>
        <v>0.1388888888888889</v>
      </c>
      <c r="W110" s="2">
        <f>($J110-Data!$N110)*Data!J110</f>
        <v>9.7222222222222238E-2</v>
      </c>
      <c r="X110" s="2">
        <f>($J110-Data!$N110)*Data!K110</f>
        <v>0.23163841807909605</v>
      </c>
      <c r="Y110" s="2">
        <f>($J110-Data!$N110)*Data!L110</f>
        <v>0.25</v>
      </c>
      <c r="Z110" s="2">
        <f>($J110-Data!$N110)</f>
        <v>0.33333333333333337</v>
      </c>
      <c r="AA110" s="2">
        <f>($K110-Data!$O110)*Data!I110</f>
        <v>-0.27777777777777773</v>
      </c>
      <c r="AB110" s="2">
        <f>($K110-Data!$O110)*Data!J110</f>
        <v>-0.19444444444444445</v>
      </c>
      <c r="AC110" s="2">
        <f>($K110-Data!$O110)*Data!K110</f>
        <v>-0.46327683615819204</v>
      </c>
      <c r="AD110" s="2">
        <f>($K110-Data!$O110)*Data!L110</f>
        <v>-0.5</v>
      </c>
      <c r="AE110" s="2">
        <f>($K110-Data!$O110)</f>
        <v>-0.66666666666666663</v>
      </c>
    </row>
    <row r="111" spans="2:31" x14ac:dyDescent="0.25">
      <c r="B111" s="2">
        <f>B$2*Data!$I111+B$3*Data!$J111+B$4*Data!$K111+B$5*Data!$L111+B$6</f>
        <v>0.38582862523540484</v>
      </c>
      <c r="C111" s="2">
        <f>C$2*Data!$I111+C$3*Data!$J111+C$4*Data!$K111+C$5*Data!$L111+C$6</f>
        <v>0.38582862523540484</v>
      </c>
      <c r="D111" s="2">
        <f>D$2*Data!$I111+D$3*Data!$J111+D$4*Data!$K111+D$5*Data!$L111+D$6</f>
        <v>0.38582862523540484</v>
      </c>
      <c r="E111" s="2">
        <f>EXP(B111)</f>
        <v>1.4708325856267195</v>
      </c>
      <c r="F111" s="2">
        <f>EXP(C111)</f>
        <v>1.4708325856267195</v>
      </c>
      <c r="G111" s="2">
        <f>EXP(D111)</f>
        <v>1.4708325856267195</v>
      </c>
      <c r="H111" s="2">
        <f>SUM(E111:G111)</f>
        <v>4.4124977568801587</v>
      </c>
      <c r="I111" s="2">
        <f>E111/$H111</f>
        <v>0.33333333333333331</v>
      </c>
      <c r="J111" s="2">
        <f>F111/$H111</f>
        <v>0.33333333333333331</v>
      </c>
      <c r="K111" s="2">
        <f>G111/$H111</f>
        <v>0.33333333333333331</v>
      </c>
      <c r="L111" s="2">
        <f>-Data!M111*LOG(I111)</f>
        <v>0</v>
      </c>
      <c r="M111" s="2">
        <f>-Data!N111*LOG(J111)</f>
        <v>0</v>
      </c>
      <c r="N111" s="2">
        <f>-Data!O111*LOG(K111)</f>
        <v>0.47712125471966244</v>
      </c>
      <c r="O111" s="2">
        <f>SUM(L111:N111)</f>
        <v>0.47712125471966244</v>
      </c>
      <c r="P111" s="2"/>
      <c r="Q111" s="2">
        <f>(I111-Data!M111)*Data!I111</f>
        <v>0.25925925925925919</v>
      </c>
      <c r="R111" s="2">
        <f>($I111-Data!$M111)*Data!J111</f>
        <v>0.13888888888888887</v>
      </c>
      <c r="S111" s="2">
        <f>($I111-Data!$M111)*Data!K111</f>
        <v>0.2768361581920904</v>
      </c>
      <c r="T111" s="2">
        <f>($I111-Data!$M111)*Data!L111</f>
        <v>0.27777777777777779</v>
      </c>
      <c r="U111" s="2">
        <f>($I111-Data!$M111)</f>
        <v>0.33333333333333331</v>
      </c>
      <c r="V111" s="2">
        <f>($J111-Data!$N111)*Data!I111</f>
        <v>0.25925925925925919</v>
      </c>
      <c r="W111" s="2">
        <f>($J111-Data!$N111)*Data!J111</f>
        <v>0.13888888888888887</v>
      </c>
      <c r="X111" s="2">
        <f>($J111-Data!$N111)*Data!K111</f>
        <v>0.2768361581920904</v>
      </c>
      <c r="Y111" s="2">
        <f>($J111-Data!$N111)*Data!L111</f>
        <v>0.27777777777777779</v>
      </c>
      <c r="Z111" s="2">
        <f>($J111-Data!$N111)</f>
        <v>0.33333333333333331</v>
      </c>
      <c r="AA111" s="2">
        <f>($K111-Data!$O111)*Data!I111</f>
        <v>-0.51851851851851849</v>
      </c>
      <c r="AB111" s="2">
        <f>($K111-Data!$O111)*Data!J111</f>
        <v>-0.27777777777777779</v>
      </c>
      <c r="AC111" s="2">
        <f>($K111-Data!$O111)*Data!K111</f>
        <v>-0.55367231638418091</v>
      </c>
      <c r="AD111" s="2">
        <f>($K111-Data!$O111)*Data!L111</f>
        <v>-0.55555555555555569</v>
      </c>
      <c r="AE111" s="2">
        <f>($K111-Data!$O111)</f>
        <v>-0.66666666666666674</v>
      </c>
    </row>
    <row r="112" spans="2:31" x14ac:dyDescent="0.25">
      <c r="B112" s="2">
        <f>B$2*Data!$I112+B$3*Data!$J112+B$4*Data!$K112+B$5*Data!$L112+B$6</f>
        <v>0.3418549905838042</v>
      </c>
      <c r="C112" s="2">
        <f>C$2*Data!$I112+C$3*Data!$J112+C$4*Data!$K112+C$5*Data!$L112+C$6</f>
        <v>0.3418549905838042</v>
      </c>
      <c r="D112" s="2">
        <f>D$2*Data!$I112+D$3*Data!$J112+D$4*Data!$K112+D$5*Data!$L112+D$6</f>
        <v>0.3418549905838042</v>
      </c>
      <c r="E112" s="2">
        <f>EXP(B112)</f>
        <v>1.4075561738155034</v>
      </c>
      <c r="F112" s="2">
        <f>EXP(C112)</f>
        <v>1.4075561738155034</v>
      </c>
      <c r="G112" s="2">
        <f>EXP(D112)</f>
        <v>1.4075561738155034</v>
      </c>
      <c r="H112" s="2">
        <f>SUM(E112:G112)</f>
        <v>4.2226685214465096</v>
      </c>
      <c r="I112" s="2">
        <f>E112/$H112</f>
        <v>0.33333333333333337</v>
      </c>
      <c r="J112" s="2">
        <f>F112/$H112</f>
        <v>0.33333333333333337</v>
      </c>
      <c r="K112" s="2">
        <f>G112/$H112</f>
        <v>0.33333333333333337</v>
      </c>
      <c r="L112" s="2">
        <f>-Data!M112*LOG(I112)</f>
        <v>0</v>
      </c>
      <c r="M112" s="2">
        <f>-Data!N112*LOG(J112)</f>
        <v>0</v>
      </c>
      <c r="N112" s="2">
        <f>-Data!O112*LOG(K112)</f>
        <v>0.47712125471966238</v>
      </c>
      <c r="O112" s="2">
        <f>SUM(L112:N112)</f>
        <v>0.47712125471966238</v>
      </c>
      <c r="P112" s="2"/>
      <c r="Q112" s="2">
        <f>(I112-Data!M112)*Data!I112</f>
        <v>0.18518518518518517</v>
      </c>
      <c r="R112" s="2">
        <f>($I112-Data!$M112)*Data!J112</f>
        <v>0.12499999999999997</v>
      </c>
      <c r="S112" s="2">
        <f>($I112-Data!$M112)*Data!K112</f>
        <v>0.25988700564971751</v>
      </c>
      <c r="T112" s="2">
        <f>($I112-Data!$M112)*Data!L112</f>
        <v>0.23611111111111116</v>
      </c>
      <c r="U112" s="2">
        <f>($I112-Data!$M112)</f>
        <v>0.33333333333333337</v>
      </c>
      <c r="V112" s="2">
        <f>($J112-Data!$N112)*Data!I112</f>
        <v>0.18518518518518517</v>
      </c>
      <c r="W112" s="2">
        <f>($J112-Data!$N112)*Data!J112</f>
        <v>0.12499999999999997</v>
      </c>
      <c r="X112" s="2">
        <f>($J112-Data!$N112)*Data!K112</f>
        <v>0.25988700564971751</v>
      </c>
      <c r="Y112" s="2">
        <f>($J112-Data!$N112)*Data!L112</f>
        <v>0.23611111111111116</v>
      </c>
      <c r="Z112" s="2">
        <f>($J112-Data!$N112)</f>
        <v>0.33333333333333337</v>
      </c>
      <c r="AA112" s="2">
        <f>($K112-Data!$O112)*Data!I112</f>
        <v>-0.37037037037037029</v>
      </c>
      <c r="AB112" s="2">
        <f>($K112-Data!$O112)*Data!J112</f>
        <v>-0.24999999999999992</v>
      </c>
      <c r="AC112" s="2">
        <f>($K112-Data!$O112)*Data!K112</f>
        <v>-0.5197740112994349</v>
      </c>
      <c r="AD112" s="2">
        <f>($K112-Data!$O112)*Data!L112</f>
        <v>-0.47222222222222221</v>
      </c>
      <c r="AE112" s="2">
        <f>($K112-Data!$O112)</f>
        <v>-0.66666666666666663</v>
      </c>
    </row>
    <row r="113" spans="2:31" x14ac:dyDescent="0.25">
      <c r="B113" s="2">
        <f>B$2*Data!$I113+B$3*Data!$J113+B$4*Data!$K113+B$5*Data!$L113+B$6</f>
        <v>0.37163370998116763</v>
      </c>
      <c r="C113" s="2">
        <f>C$2*Data!$I113+C$3*Data!$J113+C$4*Data!$K113+C$5*Data!$L113+C$6</f>
        <v>0.37163370998116763</v>
      </c>
      <c r="D113" s="2">
        <f>D$2*Data!$I113+D$3*Data!$J113+D$4*Data!$K113+D$5*Data!$L113+D$6</f>
        <v>0.37163370998116763</v>
      </c>
      <c r="E113" s="2">
        <f>EXP(B113)</f>
        <v>1.4501017262137783</v>
      </c>
      <c r="F113" s="2">
        <f>EXP(C113)</f>
        <v>1.4501017262137783</v>
      </c>
      <c r="G113" s="2">
        <f>EXP(D113)</f>
        <v>1.4501017262137783</v>
      </c>
      <c r="H113" s="2">
        <f>SUM(E113:G113)</f>
        <v>4.3503051786413351</v>
      </c>
      <c r="I113" s="2">
        <f>E113/$H113</f>
        <v>0.33333333333333331</v>
      </c>
      <c r="J113" s="2">
        <f>F113/$H113</f>
        <v>0.33333333333333331</v>
      </c>
      <c r="K113" s="2">
        <f>G113/$H113</f>
        <v>0.33333333333333331</v>
      </c>
      <c r="L113" s="2">
        <f>-Data!M113*LOG(I113)</f>
        <v>0</v>
      </c>
      <c r="M113" s="2">
        <f>-Data!N113*LOG(J113)</f>
        <v>0</v>
      </c>
      <c r="N113" s="2">
        <f>-Data!O113*LOG(K113)</f>
        <v>0.47712125471966244</v>
      </c>
      <c r="O113" s="2">
        <f>SUM(L113:N113)</f>
        <v>0.47712125471966244</v>
      </c>
      <c r="P113" s="2"/>
      <c r="Q113" s="2">
        <f>(I113-Data!M113)*Data!I113</f>
        <v>0.20370370370370366</v>
      </c>
      <c r="R113" s="2">
        <f>($I113-Data!$M113)*Data!J113</f>
        <v>0.13888888888888887</v>
      </c>
      <c r="S113" s="2">
        <f>($I113-Data!$M113)*Data!K113</f>
        <v>0.27118644067796605</v>
      </c>
      <c r="T113" s="2">
        <f>($I113-Data!$M113)*Data!L113</f>
        <v>0.29166666666666669</v>
      </c>
      <c r="U113" s="2">
        <f>($I113-Data!$M113)</f>
        <v>0.33333333333333331</v>
      </c>
      <c r="V113" s="2">
        <f>($J113-Data!$N113)*Data!I113</f>
        <v>0.20370370370370366</v>
      </c>
      <c r="W113" s="2">
        <f>($J113-Data!$N113)*Data!J113</f>
        <v>0.13888888888888887</v>
      </c>
      <c r="X113" s="2">
        <f>($J113-Data!$N113)*Data!K113</f>
        <v>0.27118644067796605</v>
      </c>
      <c r="Y113" s="2">
        <f>($J113-Data!$N113)*Data!L113</f>
        <v>0.29166666666666669</v>
      </c>
      <c r="Z113" s="2">
        <f>($J113-Data!$N113)</f>
        <v>0.33333333333333331</v>
      </c>
      <c r="AA113" s="2">
        <f>($K113-Data!$O113)*Data!I113</f>
        <v>-0.40740740740740738</v>
      </c>
      <c r="AB113" s="2">
        <f>($K113-Data!$O113)*Data!J113</f>
        <v>-0.27777777777777779</v>
      </c>
      <c r="AC113" s="2">
        <f>($K113-Data!$O113)*Data!K113</f>
        <v>-0.5423728813559322</v>
      </c>
      <c r="AD113" s="2">
        <f>($K113-Data!$O113)*Data!L113</f>
        <v>-0.58333333333333348</v>
      </c>
      <c r="AE113" s="2">
        <f>($K113-Data!$O113)</f>
        <v>-0.66666666666666674</v>
      </c>
    </row>
    <row r="114" spans="2:31" x14ac:dyDescent="0.25">
      <c r="B114" s="2">
        <f>B$2*Data!$I114+B$3*Data!$J114+B$4*Data!$K114+B$5*Data!$L114+B$6</f>
        <v>0.41158192090395485</v>
      </c>
      <c r="C114" s="2">
        <f>C$2*Data!$I114+C$3*Data!$J114+C$4*Data!$K114+C$5*Data!$L114+C$6</f>
        <v>0.41158192090395485</v>
      </c>
      <c r="D114" s="2">
        <f>D$2*Data!$I114+D$3*Data!$J114+D$4*Data!$K114+D$5*Data!$L114+D$6</f>
        <v>0.41158192090395485</v>
      </c>
      <c r="E114" s="2">
        <f>EXP(B114)</f>
        <v>1.5092033380461189</v>
      </c>
      <c r="F114" s="2">
        <f>EXP(C114)</f>
        <v>1.5092033380461189</v>
      </c>
      <c r="G114" s="2">
        <f>EXP(D114)</f>
        <v>1.5092033380461189</v>
      </c>
      <c r="H114" s="2">
        <f>SUM(E114:G114)</f>
        <v>4.5276100141383573</v>
      </c>
      <c r="I114" s="2">
        <f>E114/$H114</f>
        <v>0.33333333333333331</v>
      </c>
      <c r="J114" s="2">
        <f>F114/$H114</f>
        <v>0.33333333333333331</v>
      </c>
      <c r="K114" s="2">
        <f>G114/$H114</f>
        <v>0.33333333333333331</v>
      </c>
      <c r="L114" s="2">
        <f>-Data!M114*LOG(I114)</f>
        <v>0</v>
      </c>
      <c r="M114" s="2">
        <f>-Data!N114*LOG(J114)</f>
        <v>0</v>
      </c>
      <c r="N114" s="2">
        <f>-Data!O114*LOG(K114)</f>
        <v>0.47712125471966244</v>
      </c>
      <c r="O114" s="2">
        <f>SUM(L114:N114)</f>
        <v>0.47712125471966244</v>
      </c>
      <c r="P114" s="2"/>
      <c r="Q114" s="2">
        <f>(I114-Data!M114)*Data!I114</f>
        <v>0.30555555555555547</v>
      </c>
      <c r="R114" s="2">
        <f>($I114-Data!$M114)*Data!J114</f>
        <v>0.13888888888888887</v>
      </c>
      <c r="S114" s="2">
        <f>($I114-Data!$M114)*Data!K114</f>
        <v>0.31638418079096042</v>
      </c>
      <c r="T114" s="2">
        <f>($I114-Data!$M114)*Data!L114</f>
        <v>0.27777777777777779</v>
      </c>
      <c r="U114" s="2">
        <f>($I114-Data!$M114)</f>
        <v>0.33333333333333331</v>
      </c>
      <c r="V114" s="2">
        <f>($J114-Data!$N114)*Data!I114</f>
        <v>0.30555555555555547</v>
      </c>
      <c r="W114" s="2">
        <f>($J114-Data!$N114)*Data!J114</f>
        <v>0.13888888888888887</v>
      </c>
      <c r="X114" s="2">
        <f>($J114-Data!$N114)*Data!K114</f>
        <v>0.31638418079096042</v>
      </c>
      <c r="Y114" s="2">
        <f>($J114-Data!$N114)*Data!L114</f>
        <v>0.27777777777777779</v>
      </c>
      <c r="Z114" s="2">
        <f>($J114-Data!$N114)</f>
        <v>0.33333333333333331</v>
      </c>
      <c r="AA114" s="2">
        <f>($K114-Data!$O114)*Data!I114</f>
        <v>-0.61111111111111105</v>
      </c>
      <c r="AB114" s="2">
        <f>($K114-Data!$O114)*Data!J114</f>
        <v>-0.27777777777777779</v>
      </c>
      <c r="AC114" s="2">
        <f>($K114-Data!$O114)*Data!K114</f>
        <v>-0.63276836158192096</v>
      </c>
      <c r="AD114" s="2">
        <f>($K114-Data!$O114)*Data!L114</f>
        <v>-0.55555555555555569</v>
      </c>
      <c r="AE114" s="2">
        <f>($K114-Data!$O114)</f>
        <v>-0.66666666666666674</v>
      </c>
    </row>
    <row r="115" spans="2:31" x14ac:dyDescent="0.25">
      <c r="B115" s="2">
        <f>B$2*Data!$I115+B$3*Data!$J115+B$4*Data!$K115+B$5*Data!$L115+B$6</f>
        <v>0.26348870056497176</v>
      </c>
      <c r="C115" s="2">
        <f>C$2*Data!$I115+C$3*Data!$J115+C$4*Data!$K115+C$5*Data!$L115+C$6</f>
        <v>0.26348870056497176</v>
      </c>
      <c r="D115" s="2">
        <f>D$2*Data!$I115+D$3*Data!$J115+D$4*Data!$K115+D$5*Data!$L115+D$6</f>
        <v>0.26348870056497176</v>
      </c>
      <c r="E115" s="2">
        <f>EXP(B115)</f>
        <v>1.3014625890665932</v>
      </c>
      <c r="F115" s="2">
        <f>EXP(C115)</f>
        <v>1.3014625890665932</v>
      </c>
      <c r="G115" s="2">
        <f>EXP(D115)</f>
        <v>1.3014625890665932</v>
      </c>
      <c r="H115" s="2">
        <f>SUM(E115:G115)</f>
        <v>3.9043877671997795</v>
      </c>
      <c r="I115" s="2">
        <f>E115/$H115</f>
        <v>0.33333333333333331</v>
      </c>
      <c r="J115" s="2">
        <f>F115/$H115</f>
        <v>0.33333333333333331</v>
      </c>
      <c r="K115" s="2">
        <f>G115/$H115</f>
        <v>0.33333333333333331</v>
      </c>
      <c r="L115" s="2">
        <f>-Data!M115*LOG(I115)</f>
        <v>0</v>
      </c>
      <c r="M115" s="2">
        <f>-Data!N115*LOG(J115)</f>
        <v>0</v>
      </c>
      <c r="N115" s="2">
        <f>-Data!O115*LOG(K115)</f>
        <v>0.47712125471966244</v>
      </c>
      <c r="O115" s="2">
        <f>SUM(L115:N115)</f>
        <v>0.47712125471966244</v>
      </c>
      <c r="P115" s="2"/>
      <c r="Q115" s="2">
        <f>(I115-Data!M115)*Data!I115</f>
        <v>5.5555555555555594E-2</v>
      </c>
      <c r="R115" s="2">
        <f>($I115-Data!$M115)*Data!J115</f>
        <v>6.9444444444444434E-2</v>
      </c>
      <c r="S115" s="2">
        <f>($I115-Data!$M115)*Data!K115</f>
        <v>0.19774011299435026</v>
      </c>
      <c r="T115" s="2">
        <f>($I115-Data!$M115)*Data!L115</f>
        <v>0.22222222222222221</v>
      </c>
      <c r="U115" s="2">
        <f>($I115-Data!$M115)</f>
        <v>0.33333333333333331</v>
      </c>
      <c r="V115" s="2">
        <f>($J115-Data!$N115)*Data!I115</f>
        <v>5.5555555555555594E-2</v>
      </c>
      <c r="W115" s="2">
        <f>($J115-Data!$N115)*Data!J115</f>
        <v>6.9444444444444434E-2</v>
      </c>
      <c r="X115" s="2">
        <f>($J115-Data!$N115)*Data!K115</f>
        <v>0.19774011299435026</v>
      </c>
      <c r="Y115" s="2">
        <f>($J115-Data!$N115)*Data!L115</f>
        <v>0.22222222222222221</v>
      </c>
      <c r="Z115" s="2">
        <f>($J115-Data!$N115)</f>
        <v>0.33333333333333331</v>
      </c>
      <c r="AA115" s="2">
        <f>($K115-Data!$O115)*Data!I115</f>
        <v>-0.11111111111111122</v>
      </c>
      <c r="AB115" s="2">
        <f>($K115-Data!$O115)*Data!J115</f>
        <v>-0.1388888888888889</v>
      </c>
      <c r="AC115" s="2">
        <f>($K115-Data!$O115)*Data!K115</f>
        <v>-0.39548022598870058</v>
      </c>
      <c r="AD115" s="2">
        <f>($K115-Data!$O115)*Data!L115</f>
        <v>-0.44444444444444448</v>
      </c>
      <c r="AE115" s="2">
        <f>($K115-Data!$O115)</f>
        <v>-0.66666666666666674</v>
      </c>
    </row>
    <row r="116" spans="2:31" x14ac:dyDescent="0.25">
      <c r="B116" s="2">
        <f>B$2*Data!$I116+B$3*Data!$J116+B$4*Data!$K116+B$5*Data!$L116+B$6</f>
        <v>0.38149717514124293</v>
      </c>
      <c r="C116" s="2">
        <f>C$2*Data!$I116+C$3*Data!$J116+C$4*Data!$K116+C$5*Data!$L116+C$6</f>
        <v>0.38149717514124293</v>
      </c>
      <c r="D116" s="2">
        <f>D$2*Data!$I116+D$3*Data!$J116+D$4*Data!$K116+D$5*Data!$L116+D$6</f>
        <v>0.38149717514124293</v>
      </c>
      <c r="E116" s="2">
        <f>EXP(B116)</f>
        <v>1.4644755252690274</v>
      </c>
      <c r="F116" s="2">
        <f>EXP(C116)</f>
        <v>1.4644755252690274</v>
      </c>
      <c r="G116" s="2">
        <f>EXP(D116)</f>
        <v>1.4644755252690274</v>
      </c>
      <c r="H116" s="2">
        <f>SUM(E116:G116)</f>
        <v>4.3934265758070818</v>
      </c>
      <c r="I116" s="2">
        <f>E116/$H116</f>
        <v>0.33333333333333337</v>
      </c>
      <c r="J116" s="2">
        <f>F116/$H116</f>
        <v>0.33333333333333337</v>
      </c>
      <c r="K116" s="2">
        <f>G116/$H116</f>
        <v>0.33333333333333337</v>
      </c>
      <c r="L116" s="2">
        <f>-Data!M116*LOG(I116)</f>
        <v>0</v>
      </c>
      <c r="M116" s="2">
        <f>-Data!N116*LOG(J116)</f>
        <v>0</v>
      </c>
      <c r="N116" s="2">
        <f>-Data!O116*LOG(K116)</f>
        <v>0.47712125471966238</v>
      </c>
      <c r="O116" s="2">
        <f>SUM(L116:N116)</f>
        <v>0.47712125471966238</v>
      </c>
      <c r="P116" s="2"/>
      <c r="Q116" s="2">
        <f>(I116-Data!M116)*Data!I116</f>
        <v>0.27777777777777779</v>
      </c>
      <c r="R116" s="2">
        <f>($I116-Data!$M116)*Data!J116</f>
        <v>0.12499999999999997</v>
      </c>
      <c r="S116" s="2">
        <f>($I116-Data!$M116)*Data!K116</f>
        <v>0.29943502824858759</v>
      </c>
      <c r="T116" s="2">
        <f>($I116-Data!$M116)*Data!L116</f>
        <v>0.23611111111111116</v>
      </c>
      <c r="U116" s="2">
        <f>($I116-Data!$M116)</f>
        <v>0.33333333333333337</v>
      </c>
      <c r="V116" s="2">
        <f>($J116-Data!$N116)*Data!I116</f>
        <v>0.27777777777777779</v>
      </c>
      <c r="W116" s="2">
        <f>($J116-Data!$N116)*Data!J116</f>
        <v>0.12499999999999997</v>
      </c>
      <c r="X116" s="2">
        <f>($J116-Data!$N116)*Data!K116</f>
        <v>0.29943502824858759</v>
      </c>
      <c r="Y116" s="2">
        <f>($J116-Data!$N116)*Data!L116</f>
        <v>0.23611111111111116</v>
      </c>
      <c r="Z116" s="2">
        <f>($J116-Data!$N116)</f>
        <v>0.33333333333333337</v>
      </c>
      <c r="AA116" s="2">
        <f>($K116-Data!$O116)*Data!I116</f>
        <v>-0.55555555555555547</v>
      </c>
      <c r="AB116" s="2">
        <f>($K116-Data!$O116)*Data!J116</f>
        <v>-0.24999999999999992</v>
      </c>
      <c r="AC116" s="2">
        <f>($K116-Data!$O116)*Data!K116</f>
        <v>-0.59887005649717506</v>
      </c>
      <c r="AD116" s="2">
        <f>($K116-Data!$O116)*Data!L116</f>
        <v>-0.47222222222222221</v>
      </c>
      <c r="AE116" s="2">
        <f>($K116-Data!$O116)</f>
        <v>-0.66666666666666663</v>
      </c>
    </row>
    <row r="117" spans="2:31" x14ac:dyDescent="0.25">
      <c r="B117" s="2">
        <f>B$2*Data!$I117+B$3*Data!$J117+B$4*Data!$K117+B$5*Data!$L117+B$6</f>
        <v>0.33968926553672318</v>
      </c>
      <c r="C117" s="2">
        <f>C$2*Data!$I117+C$3*Data!$J117+C$4*Data!$K117+C$5*Data!$L117+C$6</f>
        <v>0.33968926553672318</v>
      </c>
      <c r="D117" s="2">
        <f>D$2*Data!$I117+D$3*Data!$J117+D$4*Data!$K117+D$5*Data!$L117+D$6</f>
        <v>0.33968926553672318</v>
      </c>
      <c r="E117" s="2">
        <f>EXP(B117)</f>
        <v>1.4045110927490772</v>
      </c>
      <c r="F117" s="2">
        <f>EXP(C117)</f>
        <v>1.4045110927490772</v>
      </c>
      <c r="G117" s="2">
        <f>EXP(D117)</f>
        <v>1.4045110927490772</v>
      </c>
      <c r="H117" s="2">
        <f>SUM(E117:G117)</f>
        <v>4.2135332782472315</v>
      </c>
      <c r="I117" s="2">
        <f>E117/$H117</f>
        <v>0.33333333333333331</v>
      </c>
      <c r="J117" s="2">
        <f>F117/$H117</f>
        <v>0.33333333333333331</v>
      </c>
      <c r="K117" s="2">
        <f>G117/$H117</f>
        <v>0.33333333333333331</v>
      </c>
      <c r="L117" s="2">
        <f>-Data!M117*LOG(I117)</f>
        <v>0</v>
      </c>
      <c r="M117" s="2">
        <f>-Data!N117*LOG(J117)</f>
        <v>0</v>
      </c>
      <c r="N117" s="2">
        <f>-Data!O117*LOG(K117)</f>
        <v>0.47712125471966244</v>
      </c>
      <c r="O117" s="2">
        <f>SUM(L117:N117)</f>
        <v>0.47712125471966244</v>
      </c>
      <c r="P117" s="2"/>
      <c r="Q117" s="2">
        <f>(I117-Data!M117)*Data!I117</f>
        <v>0.22222222222222221</v>
      </c>
      <c r="R117" s="2">
        <f>($I117-Data!$M117)*Data!J117</f>
        <v>6.9444444444444434E-2</v>
      </c>
      <c r="S117" s="2">
        <f>($I117-Data!$M117)*Data!K117</f>
        <v>0.27118644067796605</v>
      </c>
      <c r="T117" s="2">
        <f>($I117-Data!$M117)*Data!L117</f>
        <v>0.2361111111111111</v>
      </c>
      <c r="U117" s="2">
        <f>($I117-Data!$M117)</f>
        <v>0.33333333333333331</v>
      </c>
      <c r="V117" s="2">
        <f>($J117-Data!$N117)*Data!I117</f>
        <v>0.22222222222222221</v>
      </c>
      <c r="W117" s="2">
        <f>($J117-Data!$N117)*Data!J117</f>
        <v>6.9444444444444434E-2</v>
      </c>
      <c r="X117" s="2">
        <f>($J117-Data!$N117)*Data!K117</f>
        <v>0.27118644067796605</v>
      </c>
      <c r="Y117" s="2">
        <f>($J117-Data!$N117)*Data!L117</f>
        <v>0.2361111111111111</v>
      </c>
      <c r="Z117" s="2">
        <f>($J117-Data!$N117)</f>
        <v>0.33333333333333331</v>
      </c>
      <c r="AA117" s="2">
        <f>($K117-Data!$O117)*Data!I117</f>
        <v>-0.44444444444444448</v>
      </c>
      <c r="AB117" s="2">
        <f>($K117-Data!$O117)*Data!J117</f>
        <v>-0.1388888888888889</v>
      </c>
      <c r="AC117" s="2">
        <f>($K117-Data!$O117)*Data!K117</f>
        <v>-0.5423728813559322</v>
      </c>
      <c r="AD117" s="2">
        <f>($K117-Data!$O117)*Data!L117</f>
        <v>-0.47222222222222232</v>
      </c>
      <c r="AE117" s="2">
        <f>($K117-Data!$O117)</f>
        <v>-0.66666666666666674</v>
      </c>
    </row>
    <row r="118" spans="2:31" x14ac:dyDescent="0.25">
      <c r="B118" s="2">
        <f>B$2*Data!$I118+B$3*Data!$J118+B$4*Data!$K118+B$5*Data!$L118+B$6</f>
        <v>0.43366290018832387</v>
      </c>
      <c r="C118" s="2">
        <f>C$2*Data!$I118+C$3*Data!$J118+C$4*Data!$K118+C$5*Data!$L118+C$6</f>
        <v>0.43366290018832387</v>
      </c>
      <c r="D118" s="2">
        <f>D$2*Data!$I118+D$3*Data!$J118+D$4*Data!$K118+D$5*Data!$L118+D$6</f>
        <v>0.43366290018832387</v>
      </c>
      <c r="E118" s="2">
        <f>EXP(B118)</f>
        <v>1.5428986695910463</v>
      </c>
      <c r="F118" s="2">
        <f>EXP(C118)</f>
        <v>1.5428986695910463</v>
      </c>
      <c r="G118" s="2">
        <f>EXP(D118)</f>
        <v>1.5428986695910463</v>
      </c>
      <c r="H118" s="2">
        <f>SUM(E118:G118)</f>
        <v>4.6286960087731384</v>
      </c>
      <c r="I118" s="2">
        <f>E118/$H118</f>
        <v>0.33333333333333337</v>
      </c>
      <c r="J118" s="2">
        <f>F118/$H118</f>
        <v>0.33333333333333337</v>
      </c>
      <c r="K118" s="2">
        <f>G118/$H118</f>
        <v>0.33333333333333337</v>
      </c>
      <c r="L118" s="2">
        <f>-Data!M118*LOG(I118)</f>
        <v>0</v>
      </c>
      <c r="M118" s="2">
        <f>-Data!N118*LOG(J118)</f>
        <v>0</v>
      </c>
      <c r="N118" s="2">
        <f>-Data!O118*LOG(K118)</f>
        <v>0.47712125471966238</v>
      </c>
      <c r="O118" s="2">
        <f>SUM(L118:N118)</f>
        <v>0.47712125471966238</v>
      </c>
      <c r="P118" s="2"/>
      <c r="Q118" s="2">
        <f>(I118-Data!M118)*Data!I118</f>
        <v>0.26851851851851855</v>
      </c>
      <c r="R118" s="2">
        <f>($I118-Data!$M118)*Data!J118</f>
        <v>0.22222222222222224</v>
      </c>
      <c r="S118" s="2">
        <f>($I118-Data!$M118)*Data!K118</f>
        <v>0.28813559322033899</v>
      </c>
      <c r="T118" s="2">
        <f>($I118-Data!$M118)*Data!L118</f>
        <v>0.33333333333333337</v>
      </c>
      <c r="U118" s="2">
        <f>($I118-Data!$M118)</f>
        <v>0.33333333333333337</v>
      </c>
      <c r="V118" s="2">
        <f>($J118-Data!$N118)*Data!I118</f>
        <v>0.26851851851851855</v>
      </c>
      <c r="W118" s="2">
        <f>($J118-Data!$N118)*Data!J118</f>
        <v>0.22222222222222224</v>
      </c>
      <c r="X118" s="2">
        <f>($J118-Data!$N118)*Data!K118</f>
        <v>0.28813559322033899</v>
      </c>
      <c r="Y118" s="2">
        <f>($J118-Data!$N118)*Data!L118</f>
        <v>0.33333333333333337</v>
      </c>
      <c r="Z118" s="2">
        <f>($J118-Data!$N118)</f>
        <v>0.33333333333333337</v>
      </c>
      <c r="AA118" s="2">
        <f>($K118-Data!$O118)*Data!I118</f>
        <v>-0.53703703703703698</v>
      </c>
      <c r="AB118" s="2">
        <f>($K118-Data!$O118)*Data!J118</f>
        <v>-0.44444444444444442</v>
      </c>
      <c r="AC118" s="2">
        <f>($K118-Data!$O118)*Data!K118</f>
        <v>-0.57627118644067787</v>
      </c>
      <c r="AD118" s="2">
        <f>($K118-Data!$O118)*Data!L118</f>
        <v>-0.66666666666666663</v>
      </c>
      <c r="AE118" s="2">
        <f>($K118-Data!$O118)</f>
        <v>-0.66666666666666663</v>
      </c>
    </row>
    <row r="119" spans="2:31" x14ac:dyDescent="0.25">
      <c r="B119" s="2">
        <f>B$2*Data!$I119+B$3*Data!$J119+B$4*Data!$K119+B$5*Data!$L119+B$6</f>
        <v>0.35976930320150657</v>
      </c>
      <c r="C119" s="2">
        <f>C$2*Data!$I119+C$3*Data!$J119+C$4*Data!$K119+C$5*Data!$L119+C$6</f>
        <v>0.35976930320150657</v>
      </c>
      <c r="D119" s="2">
        <f>D$2*Data!$I119+D$3*Data!$J119+D$4*Data!$K119+D$5*Data!$L119+D$6</f>
        <v>0.35976930320150657</v>
      </c>
      <c r="E119" s="2">
        <f>EXP(B119)</f>
        <v>1.4329987881919035</v>
      </c>
      <c r="F119" s="2">
        <f>EXP(C119)</f>
        <v>1.4329987881919035</v>
      </c>
      <c r="G119" s="2">
        <f>EXP(D119)</f>
        <v>1.4329987881919035</v>
      </c>
      <c r="H119" s="2">
        <f>SUM(E119:G119)</f>
        <v>4.2989963645757108</v>
      </c>
      <c r="I119" s="2">
        <f>E119/$H119</f>
        <v>0.33333333333333331</v>
      </c>
      <c r="J119" s="2">
        <f>F119/$H119</f>
        <v>0.33333333333333331</v>
      </c>
      <c r="K119" s="2">
        <f>G119/$H119</f>
        <v>0.33333333333333331</v>
      </c>
      <c r="L119" s="2">
        <f>-Data!M119*LOG(I119)</f>
        <v>0</v>
      </c>
      <c r="M119" s="2">
        <f>-Data!N119*LOG(J119)</f>
        <v>0</v>
      </c>
      <c r="N119" s="2">
        <f>-Data!O119*LOG(K119)</f>
        <v>0.47712125471966244</v>
      </c>
      <c r="O119" s="2">
        <f>SUM(L119:N119)</f>
        <v>0.47712125471966244</v>
      </c>
      <c r="P119" s="2"/>
      <c r="Q119" s="2">
        <f>(I119-Data!M119)*Data!I119</f>
        <v>0.20370370370370366</v>
      </c>
      <c r="R119" s="2">
        <f>($I119-Data!$M119)*Data!J119</f>
        <v>0.16666666666666666</v>
      </c>
      <c r="S119" s="2">
        <f>($I119-Data!$M119)*Data!K119</f>
        <v>0.23163841807909602</v>
      </c>
      <c r="T119" s="2">
        <f>($I119-Data!$M119)*Data!L119</f>
        <v>0.26388888888888884</v>
      </c>
      <c r="U119" s="2">
        <f>($I119-Data!$M119)</f>
        <v>0.33333333333333331</v>
      </c>
      <c r="V119" s="2">
        <f>($J119-Data!$N119)*Data!I119</f>
        <v>0.20370370370370366</v>
      </c>
      <c r="W119" s="2">
        <f>($J119-Data!$N119)*Data!J119</f>
        <v>0.16666666666666666</v>
      </c>
      <c r="X119" s="2">
        <f>($J119-Data!$N119)*Data!K119</f>
        <v>0.23163841807909602</v>
      </c>
      <c r="Y119" s="2">
        <f>($J119-Data!$N119)*Data!L119</f>
        <v>0.26388888888888884</v>
      </c>
      <c r="Z119" s="2">
        <f>($J119-Data!$N119)</f>
        <v>0.33333333333333331</v>
      </c>
      <c r="AA119" s="2">
        <f>($K119-Data!$O119)*Data!I119</f>
        <v>-0.40740740740740738</v>
      </c>
      <c r="AB119" s="2">
        <f>($K119-Data!$O119)*Data!J119</f>
        <v>-0.33333333333333337</v>
      </c>
      <c r="AC119" s="2">
        <f>($K119-Data!$O119)*Data!K119</f>
        <v>-0.4632768361581921</v>
      </c>
      <c r="AD119" s="2">
        <f>($K119-Data!$O119)*Data!L119</f>
        <v>-0.52777777777777779</v>
      </c>
      <c r="AE119" s="2">
        <f>($K119-Data!$O119)</f>
        <v>-0.66666666666666674</v>
      </c>
    </row>
    <row r="120" spans="2:31" x14ac:dyDescent="0.25">
      <c r="B120" s="2">
        <f>B$2*Data!$I120+B$3*Data!$J120+B$4*Data!$K120+B$5*Data!$L120+B$6</f>
        <v>0.33538135593220342</v>
      </c>
      <c r="C120" s="2">
        <f>C$2*Data!$I120+C$3*Data!$J120+C$4*Data!$K120+C$5*Data!$L120+C$6</f>
        <v>0.33538135593220342</v>
      </c>
      <c r="D120" s="2">
        <f>D$2*Data!$I120+D$3*Data!$J120+D$4*Data!$K120+D$5*Data!$L120+D$6</f>
        <v>0.33538135593220342</v>
      </c>
      <c r="E120" s="2">
        <f>EXP(B120)</f>
        <v>1.3984735997470372</v>
      </c>
      <c r="F120" s="2">
        <f>EXP(C120)</f>
        <v>1.3984735997470372</v>
      </c>
      <c r="G120" s="2">
        <f>EXP(D120)</f>
        <v>1.3984735997470372</v>
      </c>
      <c r="H120" s="2">
        <f>SUM(E120:G120)</f>
        <v>4.1954207992411119</v>
      </c>
      <c r="I120" s="2">
        <f>E120/$H120</f>
        <v>0.33333333333333331</v>
      </c>
      <c r="J120" s="2">
        <f>F120/$H120</f>
        <v>0.33333333333333331</v>
      </c>
      <c r="K120" s="2">
        <f>G120/$H120</f>
        <v>0.33333333333333331</v>
      </c>
      <c r="L120" s="2">
        <f>-Data!M120*LOG(I120)</f>
        <v>0</v>
      </c>
      <c r="M120" s="2">
        <f>-Data!N120*LOG(J120)</f>
        <v>0</v>
      </c>
      <c r="N120" s="2">
        <f>-Data!O120*LOG(K120)</f>
        <v>0.47712125471966244</v>
      </c>
      <c r="O120" s="2">
        <f>SUM(L120:N120)</f>
        <v>0.47712125471966244</v>
      </c>
      <c r="P120" s="2"/>
      <c r="Q120" s="2">
        <f>(I120-Data!M120)*Data!I120</f>
        <v>0.19444444444444445</v>
      </c>
      <c r="R120" s="2">
        <f>($I120-Data!$M120)*Data!J120</f>
        <v>9.7222222222222224E-2</v>
      </c>
      <c r="S120" s="2">
        <f>($I120-Data!$M120)*Data!K120</f>
        <v>0.24293785310734461</v>
      </c>
      <c r="T120" s="2">
        <f>($I120-Data!$M120)*Data!L120</f>
        <v>0.25</v>
      </c>
      <c r="U120" s="2">
        <f>($I120-Data!$M120)</f>
        <v>0.33333333333333331</v>
      </c>
      <c r="V120" s="2">
        <f>($J120-Data!$N120)*Data!I120</f>
        <v>0.19444444444444445</v>
      </c>
      <c r="W120" s="2">
        <f>($J120-Data!$N120)*Data!J120</f>
        <v>9.7222222222222224E-2</v>
      </c>
      <c r="X120" s="2">
        <f>($J120-Data!$N120)*Data!K120</f>
        <v>0.24293785310734461</v>
      </c>
      <c r="Y120" s="2">
        <f>($J120-Data!$N120)*Data!L120</f>
        <v>0.25</v>
      </c>
      <c r="Z120" s="2">
        <f>($J120-Data!$N120)</f>
        <v>0.33333333333333331</v>
      </c>
      <c r="AA120" s="2">
        <f>($K120-Data!$O120)*Data!I120</f>
        <v>-0.38888888888888895</v>
      </c>
      <c r="AB120" s="2">
        <f>($K120-Data!$O120)*Data!J120</f>
        <v>-0.19444444444444448</v>
      </c>
      <c r="AC120" s="2">
        <f>($K120-Data!$O120)*Data!K120</f>
        <v>-0.48587570621468928</v>
      </c>
      <c r="AD120" s="2">
        <f>($K120-Data!$O120)*Data!L120</f>
        <v>-0.5</v>
      </c>
      <c r="AE120" s="2">
        <f>($K120-Data!$O120)</f>
        <v>-0.66666666666666674</v>
      </c>
    </row>
    <row r="121" spans="2:31" x14ac:dyDescent="0.25">
      <c r="B121" s="2">
        <f>B$2*Data!$I121+B$3*Data!$J121+B$4*Data!$K121+B$5*Data!$L121+B$6</f>
        <v>0.37071563088512238</v>
      </c>
      <c r="C121" s="2">
        <f>C$2*Data!$I121+C$3*Data!$J121+C$4*Data!$K121+C$5*Data!$L121+C$6</f>
        <v>0.37071563088512238</v>
      </c>
      <c r="D121" s="2">
        <f>D$2*Data!$I121+D$3*Data!$J121+D$4*Data!$K121+D$5*Data!$L121+D$6</f>
        <v>0.37071563088512238</v>
      </c>
      <c r="E121" s="2">
        <f>EXP(B121)</f>
        <v>1.4487710290678857</v>
      </c>
      <c r="F121" s="2">
        <f>EXP(C121)</f>
        <v>1.4487710290678857</v>
      </c>
      <c r="G121" s="2">
        <f>EXP(D121)</f>
        <v>1.4487710290678857</v>
      </c>
      <c r="H121" s="2">
        <f>SUM(E121:G121)</f>
        <v>4.3463130872036571</v>
      </c>
      <c r="I121" s="2">
        <f>E121/$H121</f>
        <v>0.33333333333333331</v>
      </c>
      <c r="J121" s="2">
        <f>F121/$H121</f>
        <v>0.33333333333333331</v>
      </c>
      <c r="K121" s="2">
        <f>G121/$H121</f>
        <v>0.33333333333333331</v>
      </c>
      <c r="L121" s="2">
        <f>-Data!M121*LOG(I121)</f>
        <v>0</v>
      </c>
      <c r="M121" s="2">
        <f>-Data!N121*LOG(J121)</f>
        <v>0</v>
      </c>
      <c r="N121" s="2">
        <f>-Data!O121*LOG(K121)</f>
        <v>0.47712125471966244</v>
      </c>
      <c r="O121" s="2">
        <f>SUM(L121:N121)</f>
        <v>0.47712125471966244</v>
      </c>
      <c r="P121" s="2"/>
      <c r="Q121" s="2">
        <f>(I121-Data!M121)*Data!I121</f>
        <v>0.23148148148148143</v>
      </c>
      <c r="R121" s="2">
        <f>($I121-Data!$M121)*Data!J121</f>
        <v>0.13888888888888887</v>
      </c>
      <c r="S121" s="2">
        <f>($I121-Data!$M121)*Data!K121</f>
        <v>0.25423728813559321</v>
      </c>
      <c r="T121" s="2">
        <f>($I121-Data!$M121)*Data!L121</f>
        <v>0.27777777777777779</v>
      </c>
      <c r="U121" s="2">
        <f>($I121-Data!$M121)</f>
        <v>0.33333333333333331</v>
      </c>
      <c r="V121" s="2">
        <f>($J121-Data!$N121)*Data!I121</f>
        <v>0.23148148148148143</v>
      </c>
      <c r="W121" s="2">
        <f>($J121-Data!$N121)*Data!J121</f>
        <v>0.13888888888888887</v>
      </c>
      <c r="X121" s="2">
        <f>($J121-Data!$N121)*Data!K121</f>
        <v>0.25423728813559321</v>
      </c>
      <c r="Y121" s="2">
        <f>($J121-Data!$N121)*Data!L121</f>
        <v>0.27777777777777779</v>
      </c>
      <c r="Z121" s="2">
        <f>($J121-Data!$N121)</f>
        <v>0.33333333333333331</v>
      </c>
      <c r="AA121" s="2">
        <f>($K121-Data!$O121)*Data!I121</f>
        <v>-0.46296296296296291</v>
      </c>
      <c r="AB121" s="2">
        <f>($K121-Data!$O121)*Data!J121</f>
        <v>-0.27777777777777779</v>
      </c>
      <c r="AC121" s="2">
        <f>($K121-Data!$O121)*Data!K121</f>
        <v>-0.50847457627118653</v>
      </c>
      <c r="AD121" s="2">
        <f>($K121-Data!$O121)*Data!L121</f>
        <v>-0.55555555555555569</v>
      </c>
      <c r="AE121" s="2">
        <f>($K121-Data!$O121)</f>
        <v>-0.66666666666666674</v>
      </c>
    </row>
    <row r="122" spans="2:31" x14ac:dyDescent="0.25">
      <c r="B122" s="2">
        <f>B$2*Data!$I122+B$3*Data!$J122+B$4*Data!$K122+B$5*Data!$L122+B$6</f>
        <v>0.30668549905838038</v>
      </c>
      <c r="C122" s="2">
        <f>C$2*Data!$I122+C$3*Data!$J122+C$4*Data!$K122+C$5*Data!$L122+C$6</f>
        <v>0.30668549905838038</v>
      </c>
      <c r="D122" s="2">
        <f>D$2*Data!$I122+D$3*Data!$J122+D$4*Data!$K122+D$5*Data!$L122+D$6</f>
        <v>0.30668549905838038</v>
      </c>
      <c r="E122" s="2">
        <f>EXP(B122)</f>
        <v>1.3589135212772729</v>
      </c>
      <c r="F122" s="2">
        <f>EXP(C122)</f>
        <v>1.3589135212772729</v>
      </c>
      <c r="G122" s="2">
        <f>EXP(D122)</f>
        <v>1.3589135212772729</v>
      </c>
      <c r="H122" s="2">
        <f>SUM(E122:G122)</f>
        <v>4.0767405638318186</v>
      </c>
      <c r="I122" s="2">
        <f>E122/$H122</f>
        <v>0.33333333333333337</v>
      </c>
      <c r="J122" s="2">
        <f>F122/$H122</f>
        <v>0.33333333333333337</v>
      </c>
      <c r="K122" s="2">
        <f>G122/$H122</f>
        <v>0.33333333333333337</v>
      </c>
      <c r="L122" s="2">
        <f>-Data!M122*LOG(I122)</f>
        <v>0</v>
      </c>
      <c r="M122" s="2">
        <f>-Data!N122*LOG(J122)</f>
        <v>0</v>
      </c>
      <c r="N122" s="2">
        <f>-Data!O122*LOG(K122)</f>
        <v>0.47712125471966238</v>
      </c>
      <c r="O122" s="2">
        <f>SUM(L122:N122)</f>
        <v>0.47712125471966238</v>
      </c>
      <c r="P122" s="2"/>
      <c r="Q122" s="2">
        <f>(I122-Data!M122)*Data!I122</f>
        <v>0.12962962962962968</v>
      </c>
      <c r="R122" s="2">
        <f>($I122-Data!$M122)*Data!J122</f>
        <v>6.9444444444444448E-2</v>
      </c>
      <c r="S122" s="2">
        <f>($I122-Data!$M122)*Data!K122</f>
        <v>0.22598870056497178</v>
      </c>
      <c r="T122" s="2">
        <f>($I122-Data!$M122)*Data!L122</f>
        <v>0.2638888888888889</v>
      </c>
      <c r="U122" s="2">
        <f>($I122-Data!$M122)</f>
        <v>0.33333333333333337</v>
      </c>
      <c r="V122" s="2">
        <f>($J122-Data!$N122)*Data!I122</f>
        <v>0.12962962962962968</v>
      </c>
      <c r="W122" s="2">
        <f>($J122-Data!$N122)*Data!J122</f>
        <v>6.9444444444444448E-2</v>
      </c>
      <c r="X122" s="2">
        <f>($J122-Data!$N122)*Data!K122</f>
        <v>0.22598870056497178</v>
      </c>
      <c r="Y122" s="2">
        <f>($J122-Data!$N122)*Data!L122</f>
        <v>0.2638888888888889</v>
      </c>
      <c r="Z122" s="2">
        <f>($J122-Data!$N122)</f>
        <v>0.33333333333333337</v>
      </c>
      <c r="AA122" s="2">
        <f>($K122-Data!$O122)*Data!I122</f>
        <v>-0.2592592592592593</v>
      </c>
      <c r="AB122" s="2">
        <f>($K122-Data!$O122)*Data!J122</f>
        <v>-0.13888888888888887</v>
      </c>
      <c r="AC122" s="2">
        <f>($K122-Data!$O122)*Data!K122</f>
        <v>-0.45197740112994345</v>
      </c>
      <c r="AD122" s="2">
        <f>($K122-Data!$O122)*Data!L122</f>
        <v>-0.52777777777777768</v>
      </c>
      <c r="AE122" s="2">
        <f>($K122-Data!$O122)</f>
        <v>-0.66666666666666663</v>
      </c>
    </row>
    <row r="123" spans="2:31" x14ac:dyDescent="0.25">
      <c r="B123" s="2">
        <f>B$2*Data!$I123+B$3*Data!$J123+B$4*Data!$K123+B$5*Data!$L123+B$6</f>
        <v>0.34032485875706209</v>
      </c>
      <c r="C123" s="2">
        <f>C$2*Data!$I123+C$3*Data!$J123+C$4*Data!$K123+C$5*Data!$L123+C$6</f>
        <v>0.34032485875706209</v>
      </c>
      <c r="D123" s="2">
        <f>D$2*Data!$I123+D$3*Data!$J123+D$4*Data!$K123+D$5*Data!$L123+D$6</f>
        <v>0.34032485875706209</v>
      </c>
      <c r="E123" s="2">
        <f>EXP(B123)</f>
        <v>1.405404074233946</v>
      </c>
      <c r="F123" s="2">
        <f>EXP(C123)</f>
        <v>1.405404074233946</v>
      </c>
      <c r="G123" s="2">
        <f>EXP(D123)</f>
        <v>1.405404074233946</v>
      </c>
      <c r="H123" s="2">
        <f>SUM(E123:G123)</f>
        <v>4.2162122227018379</v>
      </c>
      <c r="I123" s="2">
        <f>E123/$H123</f>
        <v>0.33333333333333331</v>
      </c>
      <c r="J123" s="2">
        <f>F123/$H123</f>
        <v>0.33333333333333331</v>
      </c>
      <c r="K123" s="2">
        <f>G123/$H123</f>
        <v>0.33333333333333331</v>
      </c>
      <c r="L123" s="2">
        <f>-Data!M123*LOG(I123)</f>
        <v>0</v>
      </c>
      <c r="M123" s="2">
        <f>-Data!N123*LOG(J123)</f>
        <v>0</v>
      </c>
      <c r="N123" s="2">
        <f>-Data!O123*LOG(K123)</f>
        <v>0.47712125471966244</v>
      </c>
      <c r="O123" s="2">
        <f>SUM(L123:N123)</f>
        <v>0.47712125471966244</v>
      </c>
      <c r="P123" s="2"/>
      <c r="Q123" s="2">
        <f>(I123-Data!M123)*Data!I123</f>
        <v>0.13888888888888887</v>
      </c>
      <c r="R123" s="2">
        <f>($I123-Data!$M123)*Data!J123</f>
        <v>0.11111111111111106</v>
      </c>
      <c r="S123" s="2">
        <f>($I123-Data!$M123)*Data!K123</f>
        <v>0.23163841807909602</v>
      </c>
      <c r="T123" s="2">
        <f>($I123-Data!$M123)*Data!L123</f>
        <v>0.31944444444444442</v>
      </c>
      <c r="U123" s="2">
        <f>($I123-Data!$M123)</f>
        <v>0.33333333333333331</v>
      </c>
      <c r="V123" s="2">
        <f>($J123-Data!$N123)*Data!I123</f>
        <v>0.13888888888888887</v>
      </c>
      <c r="W123" s="2">
        <f>($J123-Data!$N123)*Data!J123</f>
        <v>0.11111111111111106</v>
      </c>
      <c r="X123" s="2">
        <f>($J123-Data!$N123)*Data!K123</f>
        <v>0.23163841807909602</v>
      </c>
      <c r="Y123" s="2">
        <f>($J123-Data!$N123)*Data!L123</f>
        <v>0.31944444444444442</v>
      </c>
      <c r="Z123" s="2">
        <f>($J123-Data!$N123)</f>
        <v>0.33333333333333331</v>
      </c>
      <c r="AA123" s="2">
        <f>($K123-Data!$O123)*Data!I123</f>
        <v>-0.27777777777777779</v>
      </c>
      <c r="AB123" s="2">
        <f>($K123-Data!$O123)*Data!J123</f>
        <v>-0.22222222222222215</v>
      </c>
      <c r="AC123" s="2">
        <f>($K123-Data!$O123)*Data!K123</f>
        <v>-0.4632768361581921</v>
      </c>
      <c r="AD123" s="2">
        <f>($K123-Data!$O123)*Data!L123</f>
        <v>-0.63888888888888895</v>
      </c>
      <c r="AE123" s="2">
        <f>($K123-Data!$O123)</f>
        <v>-0.66666666666666674</v>
      </c>
    </row>
    <row r="124" spans="2:31" x14ac:dyDescent="0.25">
      <c r="B124" s="2">
        <f>B$2*Data!$I124+B$3*Data!$J124+B$4*Data!$K124+B$5*Data!$L124+B$6</f>
        <v>0.3728813559322034</v>
      </c>
      <c r="C124" s="2">
        <f>C$2*Data!$I124+C$3*Data!$J124+C$4*Data!$K124+C$5*Data!$L124+C$6</f>
        <v>0.3728813559322034</v>
      </c>
      <c r="D124" s="2">
        <f>D$2*Data!$I124+D$3*Data!$J124+D$4*Data!$K124+D$5*Data!$L124+D$6</f>
        <v>0.3728813559322034</v>
      </c>
      <c r="E124" s="2">
        <f>EXP(B124)</f>
        <v>1.4519120688595804</v>
      </c>
      <c r="F124" s="2">
        <f>EXP(C124)</f>
        <v>1.4519120688595804</v>
      </c>
      <c r="G124" s="2">
        <f>EXP(D124)</f>
        <v>1.4519120688595804</v>
      </c>
      <c r="H124" s="2">
        <f>SUM(E124:G124)</f>
        <v>4.3557362065787411</v>
      </c>
      <c r="I124" s="2">
        <f>E124/$H124</f>
        <v>0.33333333333333331</v>
      </c>
      <c r="J124" s="2">
        <f>F124/$H124</f>
        <v>0.33333333333333331</v>
      </c>
      <c r="K124" s="2">
        <f>G124/$H124</f>
        <v>0.33333333333333331</v>
      </c>
      <c r="L124" s="2">
        <f>-Data!M124*LOG(I124)</f>
        <v>0</v>
      </c>
      <c r="M124" s="2">
        <f>-Data!N124*LOG(J124)</f>
        <v>0</v>
      </c>
      <c r="N124" s="2">
        <f>-Data!O124*LOG(K124)</f>
        <v>0.47712125471966244</v>
      </c>
      <c r="O124" s="2">
        <f>SUM(L124:N124)</f>
        <v>0.47712125471966244</v>
      </c>
      <c r="P124" s="2"/>
      <c r="Q124" s="2">
        <f>(I124-Data!M124)*Data!I124</f>
        <v>0.19444444444444445</v>
      </c>
      <c r="R124" s="2">
        <f>($I124-Data!$M124)*Data!J124</f>
        <v>0.16666666666666666</v>
      </c>
      <c r="S124" s="2">
        <f>($I124-Data!$M124)*Data!K124</f>
        <v>0.24293785310734461</v>
      </c>
      <c r="T124" s="2">
        <f>($I124-Data!$M124)*Data!L124</f>
        <v>0.30555555555555552</v>
      </c>
      <c r="U124" s="2">
        <f>($I124-Data!$M124)</f>
        <v>0.33333333333333331</v>
      </c>
      <c r="V124" s="2">
        <f>($J124-Data!$N124)*Data!I124</f>
        <v>0.19444444444444445</v>
      </c>
      <c r="W124" s="2">
        <f>($J124-Data!$N124)*Data!J124</f>
        <v>0.16666666666666666</v>
      </c>
      <c r="X124" s="2">
        <f>($J124-Data!$N124)*Data!K124</f>
        <v>0.24293785310734461</v>
      </c>
      <c r="Y124" s="2">
        <f>($J124-Data!$N124)*Data!L124</f>
        <v>0.30555555555555552</v>
      </c>
      <c r="Z124" s="2">
        <f>($J124-Data!$N124)</f>
        <v>0.33333333333333331</v>
      </c>
      <c r="AA124" s="2">
        <f>($K124-Data!$O124)*Data!I124</f>
        <v>-0.38888888888888895</v>
      </c>
      <c r="AB124" s="2">
        <f>($K124-Data!$O124)*Data!J124</f>
        <v>-0.33333333333333337</v>
      </c>
      <c r="AC124" s="2">
        <f>($K124-Data!$O124)*Data!K124</f>
        <v>-0.48587570621468928</v>
      </c>
      <c r="AD124" s="2">
        <f>($K124-Data!$O124)*Data!L124</f>
        <v>-0.61111111111111116</v>
      </c>
      <c r="AE124" s="2">
        <f>($K124-Data!$O124)</f>
        <v>-0.66666666666666674</v>
      </c>
    </row>
    <row r="125" spans="2:31" x14ac:dyDescent="0.25">
      <c r="B125" s="2">
        <f>B$2*Data!$I125+B$3*Data!$J125+B$4*Data!$K125+B$5*Data!$L125+B$6</f>
        <v>0.34988229755178912</v>
      </c>
      <c r="C125" s="2">
        <f>C$2*Data!$I125+C$3*Data!$J125+C$4*Data!$K125+C$5*Data!$L125+C$6</f>
        <v>0.34988229755178912</v>
      </c>
      <c r="D125" s="2">
        <f>D$2*Data!$I125+D$3*Data!$J125+D$4*Data!$K125+D$5*Data!$L125+D$6</f>
        <v>0.34988229755178912</v>
      </c>
      <c r="E125" s="2">
        <f>EXP(B125)</f>
        <v>1.4189005306980116</v>
      </c>
      <c r="F125" s="2">
        <f>EXP(C125)</f>
        <v>1.4189005306980116</v>
      </c>
      <c r="G125" s="2">
        <f>EXP(D125)</f>
        <v>1.4189005306980116</v>
      </c>
      <c r="H125" s="2">
        <f>SUM(E125:G125)</f>
        <v>4.2567015920940348</v>
      </c>
      <c r="I125" s="2">
        <f>E125/$H125</f>
        <v>0.33333333333333331</v>
      </c>
      <c r="J125" s="2">
        <f>F125/$H125</f>
        <v>0.33333333333333331</v>
      </c>
      <c r="K125" s="2">
        <f>G125/$H125</f>
        <v>0.33333333333333331</v>
      </c>
      <c r="L125" s="2">
        <f>-Data!M125*LOG(I125)</f>
        <v>0</v>
      </c>
      <c r="M125" s="2">
        <f>-Data!N125*LOG(J125)</f>
        <v>0</v>
      </c>
      <c r="N125" s="2">
        <f>-Data!O125*LOG(K125)</f>
        <v>0.47712125471966244</v>
      </c>
      <c r="O125" s="2">
        <f>SUM(L125:N125)</f>
        <v>0.47712125471966244</v>
      </c>
      <c r="P125" s="2"/>
      <c r="Q125" s="2">
        <f>(I125-Data!M125)*Data!I125</f>
        <v>0.20370370370370366</v>
      </c>
      <c r="R125" s="2">
        <f>($I125-Data!$M125)*Data!J125</f>
        <v>0.13888888888888887</v>
      </c>
      <c r="S125" s="2">
        <f>($I125-Data!$M125)*Data!K125</f>
        <v>0.25423728813559321</v>
      </c>
      <c r="T125" s="2">
        <f>($I125-Data!$M125)*Data!L125</f>
        <v>0.2361111111111111</v>
      </c>
      <c r="U125" s="2">
        <f>($I125-Data!$M125)</f>
        <v>0.33333333333333331</v>
      </c>
      <c r="V125" s="2">
        <f>($J125-Data!$N125)*Data!I125</f>
        <v>0.20370370370370366</v>
      </c>
      <c r="W125" s="2">
        <f>($J125-Data!$N125)*Data!J125</f>
        <v>0.13888888888888887</v>
      </c>
      <c r="X125" s="2">
        <f>($J125-Data!$N125)*Data!K125</f>
        <v>0.25423728813559321</v>
      </c>
      <c r="Y125" s="2">
        <f>($J125-Data!$N125)*Data!L125</f>
        <v>0.2361111111111111</v>
      </c>
      <c r="Z125" s="2">
        <f>($J125-Data!$N125)</f>
        <v>0.33333333333333331</v>
      </c>
      <c r="AA125" s="2">
        <f>($K125-Data!$O125)*Data!I125</f>
        <v>-0.40740740740740738</v>
      </c>
      <c r="AB125" s="2">
        <f>($K125-Data!$O125)*Data!J125</f>
        <v>-0.27777777777777779</v>
      </c>
      <c r="AC125" s="2">
        <f>($K125-Data!$O125)*Data!K125</f>
        <v>-0.50847457627118653</v>
      </c>
      <c r="AD125" s="2">
        <f>($K125-Data!$O125)*Data!L125</f>
        <v>-0.47222222222222232</v>
      </c>
      <c r="AE125" s="2">
        <f>($K125-Data!$O125)</f>
        <v>-0.66666666666666674</v>
      </c>
    </row>
    <row r="126" spans="2:31" x14ac:dyDescent="0.25">
      <c r="B126" s="2">
        <f>B$2*Data!$I126+B$3*Data!$J126+B$4*Data!$K126+B$5*Data!$L126+B$6</f>
        <v>0.45355461393596985</v>
      </c>
      <c r="C126" s="2">
        <f>C$2*Data!$I126+C$3*Data!$J126+C$4*Data!$K126+C$5*Data!$L126+C$6</f>
        <v>0.45355461393596985</v>
      </c>
      <c r="D126" s="2">
        <f>D$2*Data!$I126+D$3*Data!$J126+D$4*Data!$K126+D$5*Data!$L126+D$6</f>
        <v>0.45355461393596985</v>
      </c>
      <c r="E126" s="2">
        <f>EXP(B126)</f>
        <v>1.5738968496228252</v>
      </c>
      <c r="F126" s="2">
        <f>EXP(C126)</f>
        <v>1.5738968496228252</v>
      </c>
      <c r="G126" s="2">
        <f>EXP(D126)</f>
        <v>1.5738968496228252</v>
      </c>
      <c r="H126" s="2">
        <f>SUM(E126:G126)</f>
        <v>4.7216905488684757</v>
      </c>
      <c r="I126" s="2">
        <f>E126/$H126</f>
        <v>0.33333333333333331</v>
      </c>
      <c r="J126" s="2">
        <f>F126/$H126</f>
        <v>0.33333333333333331</v>
      </c>
      <c r="K126" s="2">
        <f>G126/$H126</f>
        <v>0.33333333333333331</v>
      </c>
      <c r="L126" s="2">
        <f>-Data!M126*LOG(I126)</f>
        <v>0</v>
      </c>
      <c r="M126" s="2">
        <f>-Data!N126*LOG(J126)</f>
        <v>0</v>
      </c>
      <c r="N126" s="2">
        <f>-Data!O126*LOG(K126)</f>
        <v>0.47712125471966244</v>
      </c>
      <c r="O126" s="2">
        <f>SUM(L126:N126)</f>
        <v>0.47712125471966244</v>
      </c>
      <c r="P126" s="2"/>
      <c r="Q126" s="2">
        <f>(I126-Data!M126)*Data!I126</f>
        <v>0.31481481481481477</v>
      </c>
      <c r="R126" s="2">
        <f>($I126-Data!$M126)*Data!J126</f>
        <v>0.24999999999999992</v>
      </c>
      <c r="S126" s="2">
        <f>($I126-Data!$M126)*Data!K126</f>
        <v>0.32203389830508472</v>
      </c>
      <c r="T126" s="2">
        <f>($I126-Data!$M126)*Data!L126</f>
        <v>0.29166666666666669</v>
      </c>
      <c r="U126" s="2">
        <f>($I126-Data!$M126)</f>
        <v>0.33333333333333331</v>
      </c>
      <c r="V126" s="2">
        <f>($J126-Data!$N126)*Data!I126</f>
        <v>0.31481481481481477</v>
      </c>
      <c r="W126" s="2">
        <f>($J126-Data!$N126)*Data!J126</f>
        <v>0.24999999999999992</v>
      </c>
      <c r="X126" s="2">
        <f>($J126-Data!$N126)*Data!K126</f>
        <v>0.32203389830508472</v>
      </c>
      <c r="Y126" s="2">
        <f>($J126-Data!$N126)*Data!L126</f>
        <v>0.29166666666666669</v>
      </c>
      <c r="Z126" s="2">
        <f>($J126-Data!$N126)</f>
        <v>0.33333333333333331</v>
      </c>
      <c r="AA126" s="2">
        <f>($K126-Data!$O126)*Data!I126</f>
        <v>-0.62962962962962965</v>
      </c>
      <c r="AB126" s="2">
        <f>($K126-Data!$O126)*Data!J126</f>
        <v>-0.49999999999999989</v>
      </c>
      <c r="AC126" s="2">
        <f>($K126-Data!$O126)*Data!K126</f>
        <v>-0.64406779661016955</v>
      </c>
      <c r="AD126" s="2">
        <f>($K126-Data!$O126)*Data!L126</f>
        <v>-0.58333333333333348</v>
      </c>
      <c r="AE126" s="2">
        <f>($K126-Data!$O126)</f>
        <v>-0.66666666666666674</v>
      </c>
    </row>
    <row r="127" spans="2:31" x14ac:dyDescent="0.25">
      <c r="B127" s="2">
        <f>B$2*Data!$I127+B$3*Data!$J127+B$4*Data!$K127+B$5*Data!$L127+B$6</f>
        <v>0.41111111111111109</v>
      </c>
      <c r="C127" s="2">
        <f>C$2*Data!$I127+C$3*Data!$J127+C$4*Data!$K127+C$5*Data!$L127+C$6</f>
        <v>0.41111111111111109</v>
      </c>
      <c r="D127" s="2">
        <f>D$2*Data!$I127+D$3*Data!$J127+D$4*Data!$K127+D$5*Data!$L127+D$6</f>
        <v>0.41111111111111109</v>
      </c>
      <c r="E127" s="2">
        <f>EXP(B127)</f>
        <v>1.5084929575753374</v>
      </c>
      <c r="F127" s="2">
        <f>EXP(C127)</f>
        <v>1.5084929575753374</v>
      </c>
      <c r="G127" s="2">
        <f>EXP(D127)</f>
        <v>1.5084929575753374</v>
      </c>
      <c r="H127" s="2">
        <f>SUM(E127:G127)</f>
        <v>4.525478872726012</v>
      </c>
      <c r="I127" s="2">
        <f>E127/$H127</f>
        <v>0.33333333333333337</v>
      </c>
      <c r="J127" s="2">
        <f>F127/$H127</f>
        <v>0.33333333333333337</v>
      </c>
      <c r="K127" s="2">
        <f>G127/$H127</f>
        <v>0.33333333333333337</v>
      </c>
      <c r="L127" s="2">
        <f>-Data!M127*LOG(I127)</f>
        <v>0</v>
      </c>
      <c r="M127" s="2">
        <f>-Data!N127*LOG(J127)</f>
        <v>0</v>
      </c>
      <c r="N127" s="2">
        <f>-Data!O127*LOG(K127)</f>
        <v>0.47712125471966238</v>
      </c>
      <c r="O127" s="2">
        <f>SUM(L127:N127)</f>
        <v>0.47712125471966238</v>
      </c>
      <c r="P127" s="2"/>
      <c r="Q127" s="2">
        <f>(I127-Data!M127)*Data!I127</f>
        <v>0.31481481481481483</v>
      </c>
      <c r="R127" s="2">
        <f>($I127-Data!$M127)*Data!J127</f>
        <v>8.3333333333333343E-2</v>
      </c>
      <c r="S127" s="2">
        <f>($I127-Data!$M127)*Data!K127</f>
        <v>0.33333333333333337</v>
      </c>
      <c r="T127" s="2">
        <f>($I127-Data!$M127)*Data!L127</f>
        <v>0.30555555555555558</v>
      </c>
      <c r="U127" s="2">
        <f>($I127-Data!$M127)</f>
        <v>0.33333333333333337</v>
      </c>
      <c r="V127" s="2">
        <f>($J127-Data!$N127)*Data!I127</f>
        <v>0.31481481481481483</v>
      </c>
      <c r="W127" s="2">
        <f>($J127-Data!$N127)*Data!J127</f>
        <v>8.3333333333333343E-2</v>
      </c>
      <c r="X127" s="2">
        <f>($J127-Data!$N127)*Data!K127</f>
        <v>0.33333333333333337</v>
      </c>
      <c r="Y127" s="2">
        <f>($J127-Data!$N127)*Data!L127</f>
        <v>0.30555555555555558</v>
      </c>
      <c r="Z127" s="2">
        <f>($J127-Data!$N127)</f>
        <v>0.33333333333333337</v>
      </c>
      <c r="AA127" s="2">
        <f>($K127-Data!$O127)*Data!I127</f>
        <v>-0.62962962962962954</v>
      </c>
      <c r="AB127" s="2">
        <f>($K127-Data!$O127)*Data!J127</f>
        <v>-0.16666666666666666</v>
      </c>
      <c r="AC127" s="2">
        <f>($K127-Data!$O127)*Data!K127</f>
        <v>-0.66666666666666663</v>
      </c>
      <c r="AD127" s="2">
        <f>($K127-Data!$O127)*Data!L127</f>
        <v>-0.61111111111111105</v>
      </c>
      <c r="AE127" s="2">
        <f>($K127-Data!$O127)</f>
        <v>-0.66666666666666663</v>
      </c>
    </row>
    <row r="128" spans="2:31" x14ac:dyDescent="0.25">
      <c r="B128" s="2">
        <f>B$2*Data!$I128+B$3*Data!$J128+B$4*Data!$K128+B$5*Data!$L128+B$6</f>
        <v>0.28168549905838047</v>
      </c>
      <c r="C128" s="2">
        <f>C$2*Data!$I128+C$3*Data!$J128+C$4*Data!$K128+C$5*Data!$L128+C$6</f>
        <v>0.28168549905838047</v>
      </c>
      <c r="D128" s="2">
        <f>D$2*Data!$I128+D$3*Data!$J128+D$4*Data!$K128+D$5*Data!$L128+D$6</f>
        <v>0.28168549905838047</v>
      </c>
      <c r="E128" s="2">
        <f>EXP(B128)</f>
        <v>1.325361826891049</v>
      </c>
      <c r="F128" s="2">
        <f>EXP(C128)</f>
        <v>1.325361826891049</v>
      </c>
      <c r="G128" s="2">
        <f>EXP(D128)</f>
        <v>1.325361826891049</v>
      </c>
      <c r="H128" s="2">
        <f>SUM(E128:G128)</f>
        <v>3.9760854806731469</v>
      </c>
      <c r="I128" s="2">
        <f>E128/$H128</f>
        <v>0.33333333333333331</v>
      </c>
      <c r="J128" s="2">
        <f>F128/$H128</f>
        <v>0.33333333333333331</v>
      </c>
      <c r="K128" s="2">
        <f>G128/$H128</f>
        <v>0.33333333333333331</v>
      </c>
      <c r="L128" s="2">
        <f>-Data!M128*LOG(I128)</f>
        <v>0</v>
      </c>
      <c r="M128" s="2">
        <f>-Data!N128*LOG(J128)</f>
        <v>0</v>
      </c>
      <c r="N128" s="2">
        <f>-Data!O128*LOG(K128)</f>
        <v>0.47712125471966244</v>
      </c>
      <c r="O128" s="2">
        <f>SUM(L128:N128)</f>
        <v>0.47712125471966244</v>
      </c>
      <c r="P128" s="2"/>
      <c r="Q128" s="2">
        <f>(I128-Data!M128)*Data!I128</f>
        <v>0.15740740740740738</v>
      </c>
      <c r="R128" s="2">
        <f>($I128-Data!$M128)*Data!J128</f>
        <v>2.7777777777777797E-2</v>
      </c>
      <c r="S128" s="2">
        <f>($I128-Data!$M128)*Data!K128</f>
        <v>0.22598870056497172</v>
      </c>
      <c r="T128" s="2">
        <f>($I128-Data!$M128)*Data!L128</f>
        <v>0.19444444444444445</v>
      </c>
      <c r="U128" s="2">
        <f>($I128-Data!$M128)</f>
        <v>0.33333333333333331</v>
      </c>
      <c r="V128" s="2">
        <f>($J128-Data!$N128)*Data!I128</f>
        <v>0.15740740740740738</v>
      </c>
      <c r="W128" s="2">
        <f>($J128-Data!$N128)*Data!J128</f>
        <v>2.7777777777777797E-2</v>
      </c>
      <c r="X128" s="2">
        <f>($J128-Data!$N128)*Data!K128</f>
        <v>0.22598870056497172</v>
      </c>
      <c r="Y128" s="2">
        <f>($J128-Data!$N128)*Data!L128</f>
        <v>0.19444444444444445</v>
      </c>
      <c r="Z128" s="2">
        <f>($J128-Data!$N128)</f>
        <v>0.33333333333333331</v>
      </c>
      <c r="AA128" s="2">
        <f>($K128-Data!$O128)*Data!I128</f>
        <v>-0.31481481481481483</v>
      </c>
      <c r="AB128" s="2">
        <f>($K128-Data!$O128)*Data!J128</f>
        <v>-5.5555555555555608E-2</v>
      </c>
      <c r="AC128" s="2">
        <f>($K128-Data!$O128)*Data!K128</f>
        <v>-0.45197740112994356</v>
      </c>
      <c r="AD128" s="2">
        <f>($K128-Data!$O128)*Data!L128</f>
        <v>-0.38888888888888895</v>
      </c>
      <c r="AE128" s="2">
        <f>($K128-Data!$O128)</f>
        <v>-0.66666666666666674</v>
      </c>
    </row>
    <row r="129" spans="2:31" x14ac:dyDescent="0.25">
      <c r="B129" s="2">
        <f>B$2*Data!$I129+B$3*Data!$J129+B$4*Data!$K129+B$5*Data!$L129+B$6</f>
        <v>0.3935499058380415</v>
      </c>
      <c r="C129" s="2">
        <f>C$2*Data!$I129+C$3*Data!$J129+C$4*Data!$K129+C$5*Data!$L129+C$6</f>
        <v>0.3935499058380415</v>
      </c>
      <c r="D129" s="2">
        <f>D$2*Data!$I129+D$3*Data!$J129+D$4*Data!$K129+D$5*Data!$L129+D$6</f>
        <v>0.3935499058380415</v>
      </c>
      <c r="E129" s="2">
        <f>EXP(B129)</f>
        <v>1.4822332539790182</v>
      </c>
      <c r="F129" s="2">
        <f>EXP(C129)</f>
        <v>1.4822332539790182</v>
      </c>
      <c r="G129" s="2">
        <f>EXP(D129)</f>
        <v>1.4822332539790182</v>
      </c>
      <c r="H129" s="2">
        <f>SUM(E129:G129)</f>
        <v>4.4466997619370545</v>
      </c>
      <c r="I129" s="2">
        <f>E129/$H129</f>
        <v>0.33333333333333331</v>
      </c>
      <c r="J129" s="2">
        <f>F129/$H129</f>
        <v>0.33333333333333331</v>
      </c>
      <c r="K129" s="2">
        <f>G129/$H129</f>
        <v>0.33333333333333331</v>
      </c>
      <c r="L129" s="2">
        <f>-Data!M129*LOG(I129)</f>
        <v>0</v>
      </c>
      <c r="M129" s="2">
        <f>-Data!N129*LOG(J129)</f>
        <v>0</v>
      </c>
      <c r="N129" s="2">
        <f>-Data!O129*LOG(K129)</f>
        <v>0.47712125471966244</v>
      </c>
      <c r="O129" s="2">
        <f>SUM(L129:N129)</f>
        <v>0.47712125471966244</v>
      </c>
      <c r="P129" s="2"/>
      <c r="Q129" s="2">
        <f>(I129-Data!M129)*Data!I129</f>
        <v>0.24074074074074073</v>
      </c>
      <c r="R129" s="2">
        <f>($I129-Data!$M129)*Data!J129</f>
        <v>0.16666666666666666</v>
      </c>
      <c r="S129" s="2">
        <f>($I129-Data!$M129)*Data!K129</f>
        <v>0.2655367231638418</v>
      </c>
      <c r="T129" s="2">
        <f>($I129-Data!$M129)*Data!L129</f>
        <v>0.30555555555555552</v>
      </c>
      <c r="U129" s="2">
        <f>($I129-Data!$M129)</f>
        <v>0.33333333333333331</v>
      </c>
      <c r="V129" s="2">
        <f>($J129-Data!$N129)*Data!I129</f>
        <v>0.24074074074074073</v>
      </c>
      <c r="W129" s="2">
        <f>($J129-Data!$N129)*Data!J129</f>
        <v>0.16666666666666666</v>
      </c>
      <c r="X129" s="2">
        <f>($J129-Data!$N129)*Data!K129</f>
        <v>0.2655367231638418</v>
      </c>
      <c r="Y129" s="2">
        <f>($J129-Data!$N129)*Data!L129</f>
        <v>0.30555555555555552</v>
      </c>
      <c r="Z129" s="2">
        <f>($J129-Data!$N129)</f>
        <v>0.33333333333333331</v>
      </c>
      <c r="AA129" s="2">
        <f>($K129-Data!$O129)*Data!I129</f>
        <v>-0.48148148148148151</v>
      </c>
      <c r="AB129" s="2">
        <f>($K129-Data!$O129)*Data!J129</f>
        <v>-0.33333333333333337</v>
      </c>
      <c r="AC129" s="2">
        <f>($K129-Data!$O129)*Data!K129</f>
        <v>-0.53107344632768372</v>
      </c>
      <c r="AD129" s="2">
        <f>($K129-Data!$O129)*Data!L129</f>
        <v>-0.61111111111111116</v>
      </c>
      <c r="AE129" s="2">
        <f>($K129-Data!$O129)</f>
        <v>-0.66666666666666674</v>
      </c>
    </row>
    <row r="130" spans="2:31" x14ac:dyDescent="0.25">
      <c r="B130" s="2">
        <f>B$2*Data!$I130+B$3*Data!$J130+B$4*Data!$K130+B$5*Data!$L130+B$6</f>
        <v>0.31471280602636531</v>
      </c>
      <c r="C130" s="2">
        <f>C$2*Data!$I130+C$3*Data!$J130+C$4*Data!$K130+C$5*Data!$L130+C$6</f>
        <v>0.31471280602636531</v>
      </c>
      <c r="D130" s="2">
        <f>D$2*Data!$I130+D$3*Data!$J130+D$4*Data!$K130+D$5*Data!$L130+D$6</f>
        <v>0.31471280602636531</v>
      </c>
      <c r="E130" s="2">
        <f>EXP(B130)</f>
        <v>1.3698658372449168</v>
      </c>
      <c r="F130" s="2">
        <f>EXP(C130)</f>
        <v>1.3698658372449168</v>
      </c>
      <c r="G130" s="2">
        <f>EXP(D130)</f>
        <v>1.3698658372449168</v>
      </c>
      <c r="H130" s="2">
        <f>SUM(E130:G130)</f>
        <v>4.1095975117347505</v>
      </c>
      <c r="I130" s="2">
        <f>E130/$H130</f>
        <v>0.33333333333333331</v>
      </c>
      <c r="J130" s="2">
        <f>F130/$H130</f>
        <v>0.33333333333333331</v>
      </c>
      <c r="K130" s="2">
        <f>G130/$H130</f>
        <v>0.33333333333333331</v>
      </c>
      <c r="L130" s="2">
        <f>-Data!M130*LOG(I130)</f>
        <v>0</v>
      </c>
      <c r="M130" s="2">
        <f>-Data!N130*LOG(J130)</f>
        <v>0</v>
      </c>
      <c r="N130" s="2">
        <f>-Data!O130*LOG(K130)</f>
        <v>0.47712125471966244</v>
      </c>
      <c r="O130" s="2">
        <f>SUM(L130:N130)</f>
        <v>0.47712125471966244</v>
      </c>
      <c r="P130" s="2"/>
      <c r="Q130" s="2">
        <f>(I130-Data!M130)*Data!I130</f>
        <v>0.12037037037037032</v>
      </c>
      <c r="R130" s="2">
        <f>($I130-Data!$M130)*Data!J130</f>
        <v>0.11111111111111106</v>
      </c>
      <c r="S130" s="2">
        <f>($I130-Data!$M130)*Data!K130</f>
        <v>0.22033898305084745</v>
      </c>
      <c r="T130" s="2">
        <f>($I130-Data!$M130)*Data!L130</f>
        <v>0.26388888888888884</v>
      </c>
      <c r="U130" s="2">
        <f>($I130-Data!$M130)</f>
        <v>0.33333333333333331</v>
      </c>
      <c r="V130" s="2">
        <f>($J130-Data!$N130)*Data!I130</f>
        <v>0.12037037037037032</v>
      </c>
      <c r="W130" s="2">
        <f>($J130-Data!$N130)*Data!J130</f>
        <v>0.11111111111111106</v>
      </c>
      <c r="X130" s="2">
        <f>($J130-Data!$N130)*Data!K130</f>
        <v>0.22033898305084745</v>
      </c>
      <c r="Y130" s="2">
        <f>($J130-Data!$N130)*Data!L130</f>
        <v>0.26388888888888884</v>
      </c>
      <c r="Z130" s="2">
        <f>($J130-Data!$N130)</f>
        <v>0.33333333333333331</v>
      </c>
      <c r="AA130" s="2">
        <f>($K130-Data!$O130)*Data!I130</f>
        <v>-0.2407407407407407</v>
      </c>
      <c r="AB130" s="2">
        <f>($K130-Data!$O130)*Data!J130</f>
        <v>-0.22222222222222215</v>
      </c>
      <c r="AC130" s="2">
        <f>($K130-Data!$O130)*Data!K130</f>
        <v>-0.44067796610169496</v>
      </c>
      <c r="AD130" s="2">
        <f>($K130-Data!$O130)*Data!L130</f>
        <v>-0.52777777777777779</v>
      </c>
      <c r="AE130" s="2">
        <f>($K130-Data!$O130)</f>
        <v>-0.66666666666666674</v>
      </c>
    </row>
    <row r="131" spans="2:31" x14ac:dyDescent="0.25">
      <c r="B131" s="2">
        <f>B$2*Data!$I131+B$3*Data!$J131+B$4*Data!$K131+B$5*Data!$L131+B$6</f>
        <v>0.40355461393596981</v>
      </c>
      <c r="C131" s="2">
        <f>C$2*Data!$I131+C$3*Data!$J131+C$4*Data!$K131+C$5*Data!$L131+C$6</f>
        <v>0.40355461393596981</v>
      </c>
      <c r="D131" s="2">
        <f>D$2*Data!$I131+D$3*Data!$J131+D$4*Data!$K131+D$5*Data!$L131+D$6</f>
        <v>0.40355461393596981</v>
      </c>
      <c r="E131" s="2">
        <f>EXP(B131)</f>
        <v>1.4971369944902069</v>
      </c>
      <c r="F131" s="2">
        <f>EXP(C131)</f>
        <v>1.4971369944902069</v>
      </c>
      <c r="G131" s="2">
        <f>EXP(D131)</f>
        <v>1.4971369944902069</v>
      </c>
      <c r="H131" s="2">
        <f>SUM(E131:G131)</f>
        <v>4.4914109834706206</v>
      </c>
      <c r="I131" s="2">
        <f>E131/$H131</f>
        <v>0.33333333333333331</v>
      </c>
      <c r="J131" s="2">
        <f>F131/$H131</f>
        <v>0.33333333333333331</v>
      </c>
      <c r="K131" s="2">
        <f>G131/$H131</f>
        <v>0.33333333333333331</v>
      </c>
      <c r="L131" s="2">
        <f>-Data!M131*LOG(I131)</f>
        <v>0</v>
      </c>
      <c r="M131" s="2">
        <f>-Data!N131*LOG(J131)</f>
        <v>0</v>
      </c>
      <c r="N131" s="2">
        <f>-Data!O131*LOG(K131)</f>
        <v>0.47712125471966244</v>
      </c>
      <c r="O131" s="2">
        <f>SUM(L131:N131)</f>
        <v>0.47712125471966244</v>
      </c>
      <c r="P131" s="2"/>
      <c r="Q131" s="2">
        <f>(I131-Data!M131)*Data!I131</f>
        <v>0.31481481481481477</v>
      </c>
      <c r="R131" s="2">
        <f>($I131-Data!$M131)*Data!J131</f>
        <v>0.11111111111111106</v>
      </c>
      <c r="S131" s="2">
        <f>($I131-Data!$M131)*Data!K131</f>
        <v>0.32203389830508472</v>
      </c>
      <c r="T131" s="2">
        <f>($I131-Data!$M131)*Data!L131</f>
        <v>0.26388888888888884</v>
      </c>
      <c r="U131" s="2">
        <f>($I131-Data!$M131)</f>
        <v>0.33333333333333331</v>
      </c>
      <c r="V131" s="2">
        <f>($J131-Data!$N131)*Data!I131</f>
        <v>0.31481481481481477</v>
      </c>
      <c r="W131" s="2">
        <f>($J131-Data!$N131)*Data!J131</f>
        <v>0.11111111111111106</v>
      </c>
      <c r="X131" s="2">
        <f>($J131-Data!$N131)*Data!K131</f>
        <v>0.32203389830508472</v>
      </c>
      <c r="Y131" s="2">
        <f>($J131-Data!$N131)*Data!L131</f>
        <v>0.26388888888888884</v>
      </c>
      <c r="Z131" s="2">
        <f>($J131-Data!$N131)</f>
        <v>0.33333333333333331</v>
      </c>
      <c r="AA131" s="2">
        <f>($K131-Data!$O131)*Data!I131</f>
        <v>-0.62962962962962965</v>
      </c>
      <c r="AB131" s="2">
        <f>($K131-Data!$O131)*Data!J131</f>
        <v>-0.22222222222222215</v>
      </c>
      <c r="AC131" s="2">
        <f>($K131-Data!$O131)*Data!K131</f>
        <v>-0.64406779661016955</v>
      </c>
      <c r="AD131" s="2">
        <f>($K131-Data!$O131)*Data!L131</f>
        <v>-0.52777777777777779</v>
      </c>
      <c r="AE131" s="2">
        <f>($K131-Data!$O131)</f>
        <v>-0.66666666666666674</v>
      </c>
    </row>
    <row r="132" spans="2:31" x14ac:dyDescent="0.25">
      <c r="B132" s="2">
        <f>B$2*Data!$I132+B$3*Data!$J132+B$4*Data!$K132+B$5*Data!$L132+B$6</f>
        <v>0.32165725047080984</v>
      </c>
      <c r="C132" s="2">
        <f>C$2*Data!$I132+C$3*Data!$J132+C$4*Data!$K132+C$5*Data!$L132+C$6</f>
        <v>0.32165725047080984</v>
      </c>
      <c r="D132" s="2">
        <f>D$2*Data!$I132+D$3*Data!$J132+D$4*Data!$K132+D$5*Data!$L132+D$6</f>
        <v>0.32165725047080984</v>
      </c>
      <c r="E132" s="2">
        <f>EXP(B132)</f>
        <v>1.3794119021432183</v>
      </c>
      <c r="F132" s="2">
        <f>EXP(C132)</f>
        <v>1.3794119021432183</v>
      </c>
      <c r="G132" s="2">
        <f>EXP(D132)</f>
        <v>1.3794119021432183</v>
      </c>
      <c r="H132" s="2">
        <f>SUM(E132:G132)</f>
        <v>4.1382357064296551</v>
      </c>
      <c r="I132" s="2">
        <f>E132/$H132</f>
        <v>0.33333333333333331</v>
      </c>
      <c r="J132" s="2">
        <f>F132/$H132</f>
        <v>0.33333333333333331</v>
      </c>
      <c r="K132" s="2">
        <f>G132/$H132</f>
        <v>0.33333333333333331</v>
      </c>
      <c r="L132" s="2">
        <f>-Data!M132*LOG(I132)</f>
        <v>0</v>
      </c>
      <c r="M132" s="2">
        <f>-Data!N132*LOG(J132)</f>
        <v>0</v>
      </c>
      <c r="N132" s="2">
        <f>-Data!O132*LOG(K132)</f>
        <v>0.47712125471966244</v>
      </c>
      <c r="O132" s="2">
        <f>SUM(L132:N132)</f>
        <v>0.47712125471966244</v>
      </c>
      <c r="P132" s="2"/>
      <c r="Q132" s="2">
        <f>(I132-Data!M132)*Data!I132</f>
        <v>0.18518518518518515</v>
      </c>
      <c r="R132" s="2">
        <f>($I132-Data!$M132)*Data!J132</f>
        <v>9.7222222222222224E-2</v>
      </c>
      <c r="S132" s="2">
        <f>($I132-Data!$M132)*Data!K132</f>
        <v>0.22033898305084745</v>
      </c>
      <c r="T132" s="2">
        <f>($I132-Data!$M132)*Data!L132</f>
        <v>0.2361111111111111</v>
      </c>
      <c r="U132" s="2">
        <f>($I132-Data!$M132)</f>
        <v>0.33333333333333331</v>
      </c>
      <c r="V132" s="2">
        <f>($J132-Data!$N132)*Data!I132</f>
        <v>0.18518518518518515</v>
      </c>
      <c r="W132" s="2">
        <f>($J132-Data!$N132)*Data!J132</f>
        <v>9.7222222222222224E-2</v>
      </c>
      <c r="X132" s="2">
        <f>($J132-Data!$N132)*Data!K132</f>
        <v>0.22033898305084745</v>
      </c>
      <c r="Y132" s="2">
        <f>($J132-Data!$N132)*Data!L132</f>
        <v>0.2361111111111111</v>
      </c>
      <c r="Z132" s="2">
        <f>($J132-Data!$N132)</f>
        <v>0.33333333333333331</v>
      </c>
      <c r="AA132" s="2">
        <f>($K132-Data!$O132)*Data!I132</f>
        <v>-0.37037037037037035</v>
      </c>
      <c r="AB132" s="2">
        <f>($K132-Data!$O132)*Data!J132</f>
        <v>-0.19444444444444448</v>
      </c>
      <c r="AC132" s="2">
        <f>($K132-Data!$O132)*Data!K132</f>
        <v>-0.44067796610169496</v>
      </c>
      <c r="AD132" s="2">
        <f>($K132-Data!$O132)*Data!L132</f>
        <v>-0.47222222222222232</v>
      </c>
      <c r="AE132" s="2">
        <f>($K132-Data!$O132)</f>
        <v>-0.66666666666666674</v>
      </c>
    </row>
    <row r="133" spans="2:31" x14ac:dyDescent="0.25">
      <c r="B133" s="2">
        <f>B$2*Data!$I133+B$3*Data!$J133+B$4*Data!$K133+B$5*Data!$L133+B$6</f>
        <v>0.3838276836158192</v>
      </c>
      <c r="C133" s="2">
        <f>C$2*Data!$I133+C$3*Data!$J133+C$4*Data!$K133+C$5*Data!$L133+C$6</f>
        <v>0.3838276836158192</v>
      </c>
      <c r="D133" s="2">
        <f>D$2*Data!$I133+D$3*Data!$J133+D$4*Data!$K133+D$5*Data!$L133+D$6</f>
        <v>0.3838276836158192</v>
      </c>
      <c r="E133" s="2">
        <f>EXP(B133)</f>
        <v>1.4678924779635498</v>
      </c>
      <c r="F133" s="2">
        <f>EXP(C133)</f>
        <v>1.4678924779635498</v>
      </c>
      <c r="G133" s="2">
        <f>EXP(D133)</f>
        <v>1.4678924779635498</v>
      </c>
      <c r="H133" s="2">
        <f>SUM(E133:G133)</f>
        <v>4.4036774338906497</v>
      </c>
      <c r="I133" s="2">
        <f>E133/$H133</f>
        <v>0.33333333333333331</v>
      </c>
      <c r="J133" s="2">
        <f>F133/$H133</f>
        <v>0.33333333333333331</v>
      </c>
      <c r="K133" s="2">
        <f>G133/$H133</f>
        <v>0.33333333333333331</v>
      </c>
      <c r="L133" s="2">
        <f>-Data!M133*LOG(I133)</f>
        <v>0</v>
      </c>
      <c r="M133" s="2">
        <f>-Data!N133*LOG(J133)</f>
        <v>0</v>
      </c>
      <c r="N133" s="2">
        <f>-Data!O133*LOG(K133)</f>
        <v>0.47712125471966244</v>
      </c>
      <c r="O133" s="2">
        <f>SUM(L133:N133)</f>
        <v>0.47712125471966244</v>
      </c>
      <c r="P133" s="2"/>
      <c r="Q133" s="2">
        <f>(I133-Data!M133)*Data!I133</f>
        <v>0.22222222222222221</v>
      </c>
      <c r="R133" s="2">
        <f>($I133-Data!$M133)*Data!J133</f>
        <v>0.1805555555555555</v>
      </c>
      <c r="S133" s="2">
        <f>($I133-Data!$M133)*Data!K133</f>
        <v>0.2655367231638418</v>
      </c>
      <c r="T133" s="2">
        <f>($I133-Data!$M133)*Data!L133</f>
        <v>0.27777777777777779</v>
      </c>
      <c r="U133" s="2">
        <f>($I133-Data!$M133)</f>
        <v>0.33333333333333331</v>
      </c>
      <c r="V133" s="2">
        <f>($J133-Data!$N133)*Data!I133</f>
        <v>0.22222222222222221</v>
      </c>
      <c r="W133" s="2">
        <f>($J133-Data!$N133)*Data!J133</f>
        <v>0.1805555555555555</v>
      </c>
      <c r="X133" s="2">
        <f>($J133-Data!$N133)*Data!K133</f>
        <v>0.2655367231638418</v>
      </c>
      <c r="Y133" s="2">
        <f>($J133-Data!$N133)*Data!L133</f>
        <v>0.27777777777777779</v>
      </c>
      <c r="Z133" s="2">
        <f>($J133-Data!$N133)</f>
        <v>0.33333333333333331</v>
      </c>
      <c r="AA133" s="2">
        <f>($K133-Data!$O133)*Data!I133</f>
        <v>-0.44444444444444448</v>
      </c>
      <c r="AB133" s="2">
        <f>($K133-Data!$O133)*Data!J133</f>
        <v>-0.36111111111111105</v>
      </c>
      <c r="AC133" s="2">
        <f>($K133-Data!$O133)*Data!K133</f>
        <v>-0.53107344632768372</v>
      </c>
      <c r="AD133" s="2">
        <f>($K133-Data!$O133)*Data!L133</f>
        <v>-0.55555555555555569</v>
      </c>
      <c r="AE133" s="2">
        <f>($K133-Data!$O133)</f>
        <v>-0.66666666666666674</v>
      </c>
    </row>
    <row r="134" spans="2:31" x14ac:dyDescent="0.25">
      <c r="B134" s="2">
        <f>B$2*Data!$I134+B$3*Data!$J134+B$4*Data!$K134+B$5*Data!$L134+B$6</f>
        <v>0.38613465160075333</v>
      </c>
      <c r="C134" s="2">
        <f>C$2*Data!$I134+C$3*Data!$J134+C$4*Data!$K134+C$5*Data!$L134+C$6</f>
        <v>0.38613465160075333</v>
      </c>
      <c r="D134" s="2">
        <f>D$2*Data!$I134+D$3*Data!$J134+D$4*Data!$K134+D$5*Data!$L134+D$6</f>
        <v>0.38613465160075333</v>
      </c>
      <c r="E134" s="2">
        <f>EXP(B134)</f>
        <v>1.4712827680572682</v>
      </c>
      <c r="F134" s="2">
        <f>EXP(C134)</f>
        <v>1.4712827680572682</v>
      </c>
      <c r="G134" s="2">
        <f>EXP(D134)</f>
        <v>1.4712827680572682</v>
      </c>
      <c r="H134" s="2">
        <f>SUM(E134:G134)</f>
        <v>4.4138483041718048</v>
      </c>
      <c r="I134" s="2">
        <f>E134/$H134</f>
        <v>0.33333333333333331</v>
      </c>
      <c r="J134" s="2">
        <f>F134/$H134</f>
        <v>0.33333333333333331</v>
      </c>
      <c r="K134" s="2">
        <f>G134/$H134</f>
        <v>0.33333333333333331</v>
      </c>
      <c r="L134" s="2">
        <f>-Data!M134*LOG(I134)</f>
        <v>0</v>
      </c>
      <c r="M134" s="2">
        <f>-Data!N134*LOG(J134)</f>
        <v>0</v>
      </c>
      <c r="N134" s="2">
        <f>-Data!O134*LOG(K134)</f>
        <v>0.47712125471966244</v>
      </c>
      <c r="O134" s="2">
        <f>SUM(L134:N134)</f>
        <v>0.47712125471966244</v>
      </c>
      <c r="P134" s="2"/>
      <c r="Q134" s="2">
        <f>(I134-Data!M134)*Data!I134</f>
        <v>0.26851851851851849</v>
      </c>
      <c r="R134" s="2">
        <f>($I134-Data!$M134)*Data!J134</f>
        <v>0.16666666666666666</v>
      </c>
      <c r="S134" s="2">
        <f>($I134-Data!$M134)*Data!K134</f>
        <v>0.28248587570621464</v>
      </c>
      <c r="T134" s="2">
        <f>($I134-Data!$M134)*Data!L134</f>
        <v>0.2361111111111111</v>
      </c>
      <c r="U134" s="2">
        <f>($I134-Data!$M134)</f>
        <v>0.33333333333333331</v>
      </c>
      <c r="V134" s="2">
        <f>($J134-Data!$N134)*Data!I134</f>
        <v>0.26851851851851849</v>
      </c>
      <c r="W134" s="2">
        <f>($J134-Data!$N134)*Data!J134</f>
        <v>0.16666666666666666</v>
      </c>
      <c r="X134" s="2">
        <f>($J134-Data!$N134)*Data!K134</f>
        <v>0.28248587570621464</v>
      </c>
      <c r="Y134" s="2">
        <f>($J134-Data!$N134)*Data!L134</f>
        <v>0.2361111111111111</v>
      </c>
      <c r="Z134" s="2">
        <f>($J134-Data!$N134)</f>
        <v>0.33333333333333331</v>
      </c>
      <c r="AA134" s="2">
        <f>($K134-Data!$O134)*Data!I134</f>
        <v>-0.53703703703703709</v>
      </c>
      <c r="AB134" s="2">
        <f>($K134-Data!$O134)*Data!J134</f>
        <v>-0.33333333333333337</v>
      </c>
      <c r="AC134" s="2">
        <f>($K134-Data!$O134)*Data!K134</f>
        <v>-0.56497175141242939</v>
      </c>
      <c r="AD134" s="2">
        <f>($K134-Data!$O134)*Data!L134</f>
        <v>-0.47222222222222232</v>
      </c>
      <c r="AE134" s="2">
        <f>($K134-Data!$O134)</f>
        <v>-0.66666666666666674</v>
      </c>
    </row>
    <row r="135" spans="2:31" x14ac:dyDescent="0.25">
      <c r="B135" s="2">
        <f>B$2*Data!$I135+B$3*Data!$J135+B$4*Data!$K135+B$5*Data!$L135+B$6</f>
        <v>0.32135122410546146</v>
      </c>
      <c r="C135" s="2">
        <f>C$2*Data!$I135+C$3*Data!$J135+C$4*Data!$K135+C$5*Data!$L135+C$6</f>
        <v>0.32135122410546146</v>
      </c>
      <c r="D135" s="2">
        <f>D$2*Data!$I135+D$3*Data!$J135+D$4*Data!$K135+D$5*Data!$L135+D$6</f>
        <v>0.32135122410546146</v>
      </c>
      <c r="E135" s="2">
        <f>EXP(B135)</f>
        <v>1.3789898303183343</v>
      </c>
      <c r="F135" s="2">
        <f>EXP(C135)</f>
        <v>1.3789898303183343</v>
      </c>
      <c r="G135" s="2">
        <f>EXP(D135)</f>
        <v>1.3789898303183343</v>
      </c>
      <c r="H135" s="2">
        <f>SUM(E135:G135)</f>
        <v>4.1369694909550034</v>
      </c>
      <c r="I135" s="2">
        <f>E135/$H135</f>
        <v>0.33333333333333331</v>
      </c>
      <c r="J135" s="2">
        <f>F135/$H135</f>
        <v>0.33333333333333331</v>
      </c>
      <c r="K135" s="2">
        <f>G135/$H135</f>
        <v>0.33333333333333331</v>
      </c>
      <c r="L135" s="2">
        <f>-Data!M135*LOG(I135)</f>
        <v>0</v>
      </c>
      <c r="M135" s="2">
        <f>-Data!N135*LOG(J135)</f>
        <v>0</v>
      </c>
      <c r="N135" s="2">
        <f>-Data!O135*LOG(K135)</f>
        <v>0.47712125471966244</v>
      </c>
      <c r="O135" s="2">
        <f>SUM(L135:N135)</f>
        <v>0.47712125471966244</v>
      </c>
      <c r="P135" s="2"/>
      <c r="Q135" s="2">
        <f>(I135-Data!M135)*Data!I135</f>
        <v>0.17592592592592593</v>
      </c>
      <c r="R135" s="2">
        <f>($I135-Data!$M135)*Data!J135</f>
        <v>0.11111111111111106</v>
      </c>
      <c r="S135" s="2">
        <f>($I135-Data!$M135)*Data!K135</f>
        <v>0.21468926553672313</v>
      </c>
      <c r="T135" s="2">
        <f>($I135-Data!$M135)*Data!L135</f>
        <v>0.2361111111111111</v>
      </c>
      <c r="U135" s="2">
        <f>($I135-Data!$M135)</f>
        <v>0.33333333333333331</v>
      </c>
      <c r="V135" s="2">
        <f>($J135-Data!$N135)*Data!I135</f>
        <v>0.17592592592592593</v>
      </c>
      <c r="W135" s="2">
        <f>($J135-Data!$N135)*Data!J135</f>
        <v>0.11111111111111106</v>
      </c>
      <c r="X135" s="2">
        <f>($J135-Data!$N135)*Data!K135</f>
        <v>0.21468926553672313</v>
      </c>
      <c r="Y135" s="2">
        <f>($J135-Data!$N135)*Data!L135</f>
        <v>0.2361111111111111</v>
      </c>
      <c r="Z135" s="2">
        <f>($J135-Data!$N135)</f>
        <v>0.33333333333333331</v>
      </c>
      <c r="AA135" s="2">
        <f>($K135-Data!$O135)*Data!I135</f>
        <v>-0.35185185185185192</v>
      </c>
      <c r="AB135" s="2">
        <f>($K135-Data!$O135)*Data!J135</f>
        <v>-0.22222222222222215</v>
      </c>
      <c r="AC135" s="2">
        <f>($K135-Data!$O135)*Data!K135</f>
        <v>-0.42937853107344637</v>
      </c>
      <c r="AD135" s="2">
        <f>($K135-Data!$O135)*Data!L135</f>
        <v>-0.47222222222222232</v>
      </c>
      <c r="AE135" s="2">
        <f>($K135-Data!$O135)</f>
        <v>-0.66666666666666674</v>
      </c>
    </row>
    <row r="136" spans="2:31" x14ac:dyDescent="0.25">
      <c r="B136" s="2">
        <f>B$2*Data!$I136+B$3*Data!$J136+B$4*Data!$K136+B$5*Data!$L136+B$6</f>
        <v>0.32860169491525426</v>
      </c>
      <c r="C136" s="2">
        <f>C$2*Data!$I136+C$3*Data!$J136+C$4*Data!$K136+C$5*Data!$L136+C$6</f>
        <v>0.32860169491525426</v>
      </c>
      <c r="D136" s="2">
        <f>D$2*Data!$I136+D$3*Data!$J136+D$4*Data!$K136+D$5*Data!$L136+D$6</f>
        <v>0.32860169491525426</v>
      </c>
      <c r="E136" s="2">
        <f>EXP(B136)</f>
        <v>1.3890244898735846</v>
      </c>
      <c r="F136" s="2">
        <f>EXP(C136)</f>
        <v>1.3890244898735846</v>
      </c>
      <c r="G136" s="2">
        <f>EXP(D136)</f>
        <v>1.3890244898735846</v>
      </c>
      <c r="H136" s="2">
        <f>SUM(E136:G136)</f>
        <v>4.1670734696207541</v>
      </c>
      <c r="I136" s="2">
        <f>E136/$H136</f>
        <v>0.33333333333333331</v>
      </c>
      <c r="J136" s="2">
        <f>F136/$H136</f>
        <v>0.33333333333333331</v>
      </c>
      <c r="K136" s="2">
        <f>G136/$H136</f>
        <v>0.33333333333333331</v>
      </c>
      <c r="L136" s="2">
        <f>-Data!M136*LOG(I136)</f>
        <v>0</v>
      </c>
      <c r="M136" s="2">
        <f>-Data!N136*LOG(J136)</f>
        <v>0</v>
      </c>
      <c r="N136" s="2">
        <f>-Data!O136*LOG(K136)</f>
        <v>0.47712125471966244</v>
      </c>
      <c r="O136" s="2">
        <f>SUM(L136:N136)</f>
        <v>0.47712125471966244</v>
      </c>
      <c r="P136" s="2"/>
      <c r="Q136" s="2">
        <f>(I136-Data!M136)*Data!I136</f>
        <v>0.16666666666666663</v>
      </c>
      <c r="R136" s="2">
        <f>($I136-Data!$M136)*Data!J136</f>
        <v>0.13888888888888887</v>
      </c>
      <c r="S136" s="2">
        <f>($I136-Data!$M136)*Data!K136</f>
        <v>0.22033898305084745</v>
      </c>
      <c r="T136" s="2">
        <f>($I136-Data!$M136)*Data!L136</f>
        <v>0.2361111111111111</v>
      </c>
      <c r="U136" s="2">
        <f>($I136-Data!$M136)</f>
        <v>0.33333333333333331</v>
      </c>
      <c r="V136" s="2">
        <f>($J136-Data!$N136)*Data!I136</f>
        <v>0.16666666666666663</v>
      </c>
      <c r="W136" s="2">
        <f>($J136-Data!$N136)*Data!J136</f>
        <v>0.13888888888888887</v>
      </c>
      <c r="X136" s="2">
        <f>($J136-Data!$N136)*Data!K136</f>
        <v>0.22033898305084745</v>
      </c>
      <c r="Y136" s="2">
        <f>($J136-Data!$N136)*Data!L136</f>
        <v>0.2361111111111111</v>
      </c>
      <c r="Z136" s="2">
        <f>($J136-Data!$N136)</f>
        <v>0.33333333333333331</v>
      </c>
      <c r="AA136" s="2">
        <f>($K136-Data!$O136)*Data!I136</f>
        <v>-0.33333333333333331</v>
      </c>
      <c r="AB136" s="2">
        <f>($K136-Data!$O136)*Data!J136</f>
        <v>-0.27777777777777779</v>
      </c>
      <c r="AC136" s="2">
        <f>($K136-Data!$O136)*Data!K136</f>
        <v>-0.44067796610169496</v>
      </c>
      <c r="AD136" s="2">
        <f>($K136-Data!$O136)*Data!L136</f>
        <v>-0.47222222222222232</v>
      </c>
      <c r="AE136" s="2">
        <f>($K136-Data!$O136)</f>
        <v>-0.66666666666666674</v>
      </c>
    </row>
    <row r="137" spans="2:31" x14ac:dyDescent="0.25">
      <c r="B137" s="2">
        <f>B$2*Data!$I137+B$3*Data!$J137+B$4*Data!$K137+B$5*Data!$L137+B$6</f>
        <v>0.35296610169491527</v>
      </c>
      <c r="C137" s="2">
        <f>C$2*Data!$I137+C$3*Data!$J137+C$4*Data!$K137+C$5*Data!$L137+C$6</f>
        <v>0.35296610169491527</v>
      </c>
      <c r="D137" s="2">
        <f>D$2*Data!$I137+D$3*Data!$J137+D$4*Data!$K137+D$5*Data!$L137+D$6</f>
        <v>0.35296610169491527</v>
      </c>
      <c r="E137" s="2">
        <f>EXP(B137)</f>
        <v>1.4232828957380272</v>
      </c>
      <c r="F137" s="2">
        <f>EXP(C137)</f>
        <v>1.4232828957380272</v>
      </c>
      <c r="G137" s="2">
        <f>EXP(D137)</f>
        <v>1.4232828957380272</v>
      </c>
      <c r="H137" s="2">
        <f>SUM(E137:G137)</f>
        <v>4.2698486872140817</v>
      </c>
      <c r="I137" s="2">
        <f>E137/$H137</f>
        <v>0.33333333333333331</v>
      </c>
      <c r="J137" s="2">
        <f>F137/$H137</f>
        <v>0.33333333333333331</v>
      </c>
      <c r="K137" s="2">
        <f>G137/$H137</f>
        <v>0.33333333333333331</v>
      </c>
      <c r="L137" s="2">
        <f>-Data!M137*LOG(I137)</f>
        <v>0</v>
      </c>
      <c r="M137" s="2">
        <f>-Data!N137*LOG(J137)</f>
        <v>0</v>
      </c>
      <c r="N137" s="2">
        <f>-Data!O137*LOG(K137)</f>
        <v>0.47712125471966244</v>
      </c>
      <c r="O137" s="2">
        <f>SUM(L137:N137)</f>
        <v>0.47712125471966244</v>
      </c>
      <c r="P137" s="2"/>
      <c r="Q137" s="2">
        <f>(I137-Data!M137)*Data!I137</f>
        <v>0.19444444444444445</v>
      </c>
      <c r="R137" s="2">
        <f>($I137-Data!$M137)*Data!J137</f>
        <v>0.11111111111111106</v>
      </c>
      <c r="S137" s="2">
        <f>($I137-Data!$M137)*Data!K137</f>
        <v>0.25988700564971745</v>
      </c>
      <c r="T137" s="2">
        <f>($I137-Data!$M137)*Data!L137</f>
        <v>0.27777777777777779</v>
      </c>
      <c r="U137" s="2">
        <f>($I137-Data!$M137)</f>
        <v>0.33333333333333331</v>
      </c>
      <c r="V137" s="2">
        <f>($J137-Data!$N137)*Data!I137</f>
        <v>0.19444444444444445</v>
      </c>
      <c r="W137" s="2">
        <f>($J137-Data!$N137)*Data!J137</f>
        <v>0.11111111111111106</v>
      </c>
      <c r="X137" s="2">
        <f>($J137-Data!$N137)*Data!K137</f>
        <v>0.25988700564971745</v>
      </c>
      <c r="Y137" s="2">
        <f>($J137-Data!$N137)*Data!L137</f>
        <v>0.27777777777777779</v>
      </c>
      <c r="Z137" s="2">
        <f>($J137-Data!$N137)</f>
        <v>0.33333333333333331</v>
      </c>
      <c r="AA137" s="2">
        <f>($K137-Data!$O137)*Data!I137</f>
        <v>-0.38888888888888895</v>
      </c>
      <c r="AB137" s="2">
        <f>($K137-Data!$O137)*Data!J137</f>
        <v>-0.22222222222222215</v>
      </c>
      <c r="AC137" s="2">
        <f>($K137-Data!$O137)*Data!K137</f>
        <v>-0.51977401129943501</v>
      </c>
      <c r="AD137" s="2">
        <f>($K137-Data!$O137)*Data!L137</f>
        <v>-0.55555555555555569</v>
      </c>
      <c r="AE137" s="2">
        <f>($K137-Data!$O137)</f>
        <v>-0.66666666666666674</v>
      </c>
    </row>
    <row r="138" spans="2:31" x14ac:dyDescent="0.25">
      <c r="B138" s="2">
        <f>B$2*Data!$I138+B$3*Data!$J138+B$4*Data!$K138+B$5*Data!$L138+B$6</f>
        <v>0.36607815442561209</v>
      </c>
      <c r="C138" s="2">
        <f>C$2*Data!$I138+C$3*Data!$J138+C$4*Data!$K138+C$5*Data!$L138+C$6</f>
        <v>0.36607815442561209</v>
      </c>
      <c r="D138" s="2">
        <f>D$2*Data!$I138+D$3*Data!$J138+D$4*Data!$K138+D$5*Data!$L138+D$6</f>
        <v>0.36607815442561209</v>
      </c>
      <c r="E138" s="2">
        <f>EXP(B138)</f>
        <v>1.4420679422421925</v>
      </c>
      <c r="F138" s="2">
        <f>EXP(C138)</f>
        <v>1.4420679422421925</v>
      </c>
      <c r="G138" s="2">
        <f>EXP(D138)</f>
        <v>1.4420679422421925</v>
      </c>
      <c r="H138" s="2">
        <f>SUM(E138:G138)</f>
        <v>4.3262038267265774</v>
      </c>
      <c r="I138" s="2">
        <f>E138/$H138</f>
        <v>0.33333333333333331</v>
      </c>
      <c r="J138" s="2">
        <f>F138/$H138</f>
        <v>0.33333333333333331</v>
      </c>
      <c r="K138" s="2">
        <f>G138/$H138</f>
        <v>0.33333333333333331</v>
      </c>
      <c r="L138" s="2">
        <f>-Data!M138*LOG(I138)</f>
        <v>0</v>
      </c>
      <c r="M138" s="2">
        <f>-Data!N138*LOG(J138)</f>
        <v>0</v>
      </c>
      <c r="N138" s="2">
        <f>-Data!O138*LOG(K138)</f>
        <v>0.47712125471966244</v>
      </c>
      <c r="O138" s="2">
        <f>SUM(L138:N138)</f>
        <v>0.47712125471966244</v>
      </c>
      <c r="P138" s="2"/>
      <c r="Q138" s="2">
        <f>(I138-Data!M138)*Data!I138</f>
        <v>0.26851851851851849</v>
      </c>
      <c r="R138" s="2">
        <f>($I138-Data!$M138)*Data!J138</f>
        <v>0.13888888888888887</v>
      </c>
      <c r="S138" s="2">
        <f>($I138-Data!$M138)*Data!K138</f>
        <v>0.27118644067796605</v>
      </c>
      <c r="T138" s="2">
        <f>($I138-Data!$M138)*Data!L138</f>
        <v>0.20833333333333331</v>
      </c>
      <c r="U138" s="2">
        <f>($I138-Data!$M138)</f>
        <v>0.33333333333333331</v>
      </c>
      <c r="V138" s="2">
        <f>($J138-Data!$N138)*Data!I138</f>
        <v>0.26851851851851849</v>
      </c>
      <c r="W138" s="2">
        <f>($J138-Data!$N138)*Data!J138</f>
        <v>0.13888888888888887</v>
      </c>
      <c r="X138" s="2">
        <f>($J138-Data!$N138)*Data!K138</f>
        <v>0.27118644067796605</v>
      </c>
      <c r="Y138" s="2">
        <f>($J138-Data!$N138)*Data!L138</f>
        <v>0.20833333333333331</v>
      </c>
      <c r="Z138" s="2">
        <f>($J138-Data!$N138)</f>
        <v>0.33333333333333331</v>
      </c>
      <c r="AA138" s="2">
        <f>($K138-Data!$O138)*Data!I138</f>
        <v>-0.53703703703703709</v>
      </c>
      <c r="AB138" s="2">
        <f>($K138-Data!$O138)*Data!J138</f>
        <v>-0.27777777777777779</v>
      </c>
      <c r="AC138" s="2">
        <f>($K138-Data!$O138)*Data!K138</f>
        <v>-0.5423728813559322</v>
      </c>
      <c r="AD138" s="2">
        <f>($K138-Data!$O138)*Data!L138</f>
        <v>-0.41666666666666674</v>
      </c>
      <c r="AE138" s="2">
        <f>($K138-Data!$O138)</f>
        <v>-0.66666666666666674</v>
      </c>
    </row>
    <row r="139" spans="2:31" x14ac:dyDescent="0.25">
      <c r="B139" s="2">
        <f>B$2*Data!$I139+B$3*Data!$J139+B$4*Data!$K139+B$5*Data!$L139+B$6</f>
        <v>0.38088512241054617</v>
      </c>
      <c r="C139" s="2">
        <f>C$2*Data!$I139+C$3*Data!$J139+C$4*Data!$K139+C$5*Data!$L139+C$6</f>
        <v>0.38088512241054617</v>
      </c>
      <c r="D139" s="2">
        <f>D$2*Data!$I139+D$3*Data!$J139+D$4*Data!$K139+D$5*Data!$L139+D$6</f>
        <v>0.38088512241054617</v>
      </c>
      <c r="E139" s="2">
        <f>EXP(B139)</f>
        <v>1.4635794632713168</v>
      </c>
      <c r="F139" s="2">
        <f>EXP(C139)</f>
        <v>1.4635794632713168</v>
      </c>
      <c r="G139" s="2">
        <f>EXP(D139)</f>
        <v>1.4635794632713168</v>
      </c>
      <c r="H139" s="2">
        <f>SUM(E139:G139)</f>
        <v>4.3907383898139507</v>
      </c>
      <c r="I139" s="2">
        <f>E139/$H139</f>
        <v>0.33333333333333331</v>
      </c>
      <c r="J139" s="2">
        <f>F139/$H139</f>
        <v>0.33333333333333331</v>
      </c>
      <c r="K139" s="2">
        <f>G139/$H139</f>
        <v>0.33333333333333331</v>
      </c>
      <c r="L139" s="2">
        <f>-Data!M139*LOG(I139)</f>
        <v>0</v>
      </c>
      <c r="M139" s="2">
        <f>-Data!N139*LOG(J139)</f>
        <v>0</v>
      </c>
      <c r="N139" s="2">
        <f>-Data!O139*LOG(K139)</f>
        <v>0.47712125471966244</v>
      </c>
      <c r="O139" s="2">
        <f>SUM(L139:N139)</f>
        <v>0.47712125471966244</v>
      </c>
      <c r="P139" s="2"/>
      <c r="Q139" s="2">
        <f>(I139-Data!M139)*Data!I139</f>
        <v>0.28703703703703703</v>
      </c>
      <c r="R139" s="2">
        <f>($I139-Data!$M139)*Data!J139</f>
        <v>0.11111111111111106</v>
      </c>
      <c r="S139" s="2">
        <f>($I139-Data!$M139)*Data!K139</f>
        <v>0.28813559322033894</v>
      </c>
      <c r="T139" s="2">
        <f>($I139-Data!$M139)*Data!L139</f>
        <v>0.25</v>
      </c>
      <c r="U139" s="2">
        <f>($I139-Data!$M139)</f>
        <v>0.33333333333333331</v>
      </c>
      <c r="V139" s="2">
        <f>($J139-Data!$N139)*Data!I139</f>
        <v>0.28703703703703703</v>
      </c>
      <c r="W139" s="2">
        <f>($J139-Data!$N139)*Data!J139</f>
        <v>0.11111111111111106</v>
      </c>
      <c r="X139" s="2">
        <f>($J139-Data!$N139)*Data!K139</f>
        <v>0.28813559322033894</v>
      </c>
      <c r="Y139" s="2">
        <f>($J139-Data!$N139)*Data!L139</f>
        <v>0.25</v>
      </c>
      <c r="Z139" s="2">
        <f>($J139-Data!$N139)</f>
        <v>0.33333333333333331</v>
      </c>
      <c r="AA139" s="2">
        <f>($K139-Data!$O139)*Data!I139</f>
        <v>-0.57407407407407418</v>
      </c>
      <c r="AB139" s="2">
        <f>($K139-Data!$O139)*Data!J139</f>
        <v>-0.22222222222222215</v>
      </c>
      <c r="AC139" s="2">
        <f>($K139-Data!$O139)*Data!K139</f>
        <v>-0.57627118644067798</v>
      </c>
      <c r="AD139" s="2">
        <f>($K139-Data!$O139)*Data!L139</f>
        <v>-0.5</v>
      </c>
      <c r="AE139" s="2">
        <f>($K139-Data!$O139)</f>
        <v>-0.66666666666666674</v>
      </c>
    </row>
    <row r="140" spans="2:31" x14ac:dyDescent="0.25">
      <c r="B140" s="2">
        <f>B$2*Data!$I140+B$3*Data!$J140+B$4*Data!$K140+B$5*Data!$L140+B$6</f>
        <v>0.44569209039548019</v>
      </c>
      <c r="C140" s="2">
        <f>C$2*Data!$I140+C$3*Data!$J140+C$4*Data!$K140+C$5*Data!$L140+C$6</f>
        <v>0.44569209039548019</v>
      </c>
      <c r="D140" s="2">
        <f>D$2*Data!$I140+D$3*Data!$J140+D$4*Data!$K140+D$5*Data!$L140+D$6</f>
        <v>0.44569209039548019</v>
      </c>
      <c r="E140" s="2">
        <f>EXP(B140)</f>
        <v>1.5615705699245859</v>
      </c>
      <c r="F140" s="2">
        <f>EXP(C140)</f>
        <v>1.5615705699245859</v>
      </c>
      <c r="G140" s="2">
        <f>EXP(D140)</f>
        <v>1.5615705699245859</v>
      </c>
      <c r="H140" s="2">
        <f>SUM(E140:G140)</f>
        <v>4.6847117097737581</v>
      </c>
      <c r="I140" s="2">
        <f>E140/$H140</f>
        <v>0.33333333333333331</v>
      </c>
      <c r="J140" s="2">
        <f>F140/$H140</f>
        <v>0.33333333333333331</v>
      </c>
      <c r="K140" s="2">
        <f>G140/$H140</f>
        <v>0.33333333333333331</v>
      </c>
      <c r="L140" s="2">
        <f>-Data!M140*LOG(I140)</f>
        <v>0</v>
      </c>
      <c r="M140" s="2">
        <f>-Data!N140*LOG(J140)</f>
        <v>0</v>
      </c>
      <c r="N140" s="2">
        <f>-Data!O140*LOG(K140)</f>
        <v>0.47712125471966244</v>
      </c>
      <c r="O140" s="2">
        <f>SUM(L140:N140)</f>
        <v>0.47712125471966244</v>
      </c>
      <c r="P140" s="2"/>
      <c r="Q140" s="2">
        <f>(I140-Data!M140)*Data!I140</f>
        <v>0.33333333333333331</v>
      </c>
      <c r="R140" s="2">
        <f>($I140-Data!$M140)*Data!J140</f>
        <v>0.24999999999999992</v>
      </c>
      <c r="S140" s="2">
        <f>($I140-Data!$M140)*Data!K140</f>
        <v>0.30508474576271183</v>
      </c>
      <c r="T140" s="2">
        <f>($I140-Data!$M140)*Data!L140</f>
        <v>0.26388888888888884</v>
      </c>
      <c r="U140" s="2">
        <f>($I140-Data!$M140)</f>
        <v>0.33333333333333331</v>
      </c>
      <c r="V140" s="2">
        <f>($J140-Data!$N140)*Data!I140</f>
        <v>0.33333333333333331</v>
      </c>
      <c r="W140" s="2">
        <f>($J140-Data!$N140)*Data!J140</f>
        <v>0.24999999999999992</v>
      </c>
      <c r="X140" s="2">
        <f>($J140-Data!$N140)*Data!K140</f>
        <v>0.30508474576271183</v>
      </c>
      <c r="Y140" s="2">
        <f>($J140-Data!$N140)*Data!L140</f>
        <v>0.26388888888888884</v>
      </c>
      <c r="Z140" s="2">
        <f>($J140-Data!$N140)</f>
        <v>0.33333333333333331</v>
      </c>
      <c r="AA140" s="2">
        <f>($K140-Data!$O140)*Data!I140</f>
        <v>-0.66666666666666674</v>
      </c>
      <c r="AB140" s="2">
        <f>($K140-Data!$O140)*Data!J140</f>
        <v>-0.49999999999999989</v>
      </c>
      <c r="AC140" s="2">
        <f>($K140-Data!$O140)*Data!K140</f>
        <v>-0.61016949152542377</v>
      </c>
      <c r="AD140" s="2">
        <f>($K140-Data!$O140)*Data!L140</f>
        <v>-0.52777777777777779</v>
      </c>
      <c r="AE140" s="2">
        <f>($K140-Data!$O140)</f>
        <v>-0.66666666666666674</v>
      </c>
    </row>
    <row r="141" spans="2:31" x14ac:dyDescent="0.25">
      <c r="B141" s="2">
        <f>B$2*Data!$I141+B$3*Data!$J141+B$4*Data!$K141+B$5*Data!$L141+B$6</f>
        <v>0.35713276836158192</v>
      </c>
      <c r="C141" s="2">
        <f>C$2*Data!$I141+C$3*Data!$J141+C$4*Data!$K141+C$5*Data!$L141+C$6</f>
        <v>0.35713276836158192</v>
      </c>
      <c r="D141" s="2">
        <f>D$2*Data!$I141+D$3*Data!$J141+D$4*Data!$K141+D$5*Data!$L141+D$6</f>
        <v>0.35713276836158192</v>
      </c>
      <c r="E141" s="2">
        <f>EXP(B141)</f>
        <v>1.4292256132006371</v>
      </c>
      <c r="F141" s="2">
        <f>EXP(C141)</f>
        <v>1.4292256132006371</v>
      </c>
      <c r="G141" s="2">
        <f>EXP(D141)</f>
        <v>1.4292256132006371</v>
      </c>
      <c r="H141" s="2">
        <f>SUM(E141:G141)</f>
        <v>4.2876768396019109</v>
      </c>
      <c r="I141" s="2">
        <f>E141/$H141</f>
        <v>0.33333333333333337</v>
      </c>
      <c r="J141" s="2">
        <f>F141/$H141</f>
        <v>0.33333333333333337</v>
      </c>
      <c r="K141" s="2">
        <f>G141/$H141</f>
        <v>0.33333333333333337</v>
      </c>
      <c r="L141" s="2">
        <f>-Data!M141*LOG(I141)</f>
        <v>0</v>
      </c>
      <c r="M141" s="2">
        <f>-Data!N141*LOG(J141)</f>
        <v>0</v>
      </c>
      <c r="N141" s="2">
        <f>-Data!O141*LOG(K141)</f>
        <v>0.47712125471966238</v>
      </c>
      <c r="O141" s="2">
        <f>SUM(L141:N141)</f>
        <v>0.47712125471966238</v>
      </c>
      <c r="P141" s="2"/>
      <c r="Q141" s="2">
        <f>(I141-Data!M141)*Data!I141</f>
        <v>0.19444444444444448</v>
      </c>
      <c r="R141" s="2">
        <f>($I141-Data!$M141)*Data!J141</f>
        <v>0.11111111111111108</v>
      </c>
      <c r="S141" s="2">
        <f>($I141-Data!$M141)*Data!K141</f>
        <v>0.25988700564971751</v>
      </c>
      <c r="T141" s="2">
        <f>($I141-Data!$M141)*Data!L141</f>
        <v>0.29166666666666674</v>
      </c>
      <c r="U141" s="2">
        <f>($I141-Data!$M141)</f>
        <v>0.33333333333333337</v>
      </c>
      <c r="V141" s="2">
        <f>($J141-Data!$N141)*Data!I141</f>
        <v>0.19444444444444448</v>
      </c>
      <c r="W141" s="2">
        <f>($J141-Data!$N141)*Data!J141</f>
        <v>0.11111111111111108</v>
      </c>
      <c r="X141" s="2">
        <f>($J141-Data!$N141)*Data!K141</f>
        <v>0.25988700564971751</v>
      </c>
      <c r="Y141" s="2">
        <f>($J141-Data!$N141)*Data!L141</f>
        <v>0.29166666666666674</v>
      </c>
      <c r="Z141" s="2">
        <f>($J141-Data!$N141)</f>
        <v>0.33333333333333337</v>
      </c>
      <c r="AA141" s="2">
        <f>($K141-Data!$O141)*Data!I141</f>
        <v>-0.3888888888888889</v>
      </c>
      <c r="AB141" s="2">
        <f>($K141-Data!$O141)*Data!J141</f>
        <v>-0.22222222222222213</v>
      </c>
      <c r="AC141" s="2">
        <f>($K141-Data!$O141)*Data!K141</f>
        <v>-0.5197740112994349</v>
      </c>
      <c r="AD141" s="2">
        <f>($K141-Data!$O141)*Data!L141</f>
        <v>-0.58333333333333337</v>
      </c>
      <c r="AE141" s="2">
        <f>($K141-Data!$O141)</f>
        <v>-0.66666666666666663</v>
      </c>
    </row>
    <row r="142" spans="2:31" x14ac:dyDescent="0.25">
      <c r="B142" s="2">
        <f>B$2*Data!$I142+B$3*Data!$J142+B$4*Data!$K142+B$5*Data!$L142+B$6</f>
        <v>0.31671374764595106</v>
      </c>
      <c r="C142" s="2">
        <f>C$2*Data!$I142+C$3*Data!$J142+C$4*Data!$K142+C$5*Data!$L142+C$6</f>
        <v>0.31671374764595106</v>
      </c>
      <c r="D142" s="2">
        <f>D$2*Data!$I142+D$3*Data!$J142+D$4*Data!$K142+D$5*Data!$L142+D$6</f>
        <v>0.31671374764595106</v>
      </c>
      <c r="E142" s="2">
        <f>EXP(B142)</f>
        <v>1.3726096029539598</v>
      </c>
      <c r="F142" s="2">
        <f>EXP(C142)</f>
        <v>1.3726096029539598</v>
      </c>
      <c r="G142" s="2">
        <f>EXP(D142)</f>
        <v>1.3726096029539598</v>
      </c>
      <c r="H142" s="2">
        <f>SUM(E142:G142)</f>
        <v>4.11782880886188</v>
      </c>
      <c r="I142" s="2">
        <f>E142/$H142</f>
        <v>0.33333333333333331</v>
      </c>
      <c r="J142" s="2">
        <f>F142/$H142</f>
        <v>0.33333333333333331</v>
      </c>
      <c r="K142" s="2">
        <f>G142/$H142</f>
        <v>0.33333333333333331</v>
      </c>
      <c r="L142" s="2">
        <f>-Data!M142*LOG(I142)</f>
        <v>0</v>
      </c>
      <c r="M142" s="2">
        <f>-Data!N142*LOG(J142)</f>
        <v>0</v>
      </c>
      <c r="N142" s="2">
        <f>-Data!O142*LOG(K142)</f>
        <v>0.47712125471966244</v>
      </c>
      <c r="O142" s="2">
        <f>SUM(L142:N142)</f>
        <v>0.47712125471966244</v>
      </c>
      <c r="P142" s="2"/>
      <c r="Q142" s="2">
        <f>(I142-Data!M142)*Data!I142</f>
        <v>0.18518518518518515</v>
      </c>
      <c r="R142" s="2">
        <f>($I142-Data!$M142)*Data!J142</f>
        <v>0.11111111111111106</v>
      </c>
      <c r="S142" s="2">
        <f>($I142-Data!$M142)*Data!K142</f>
        <v>0.23163841807909602</v>
      </c>
      <c r="T142" s="2">
        <f>($I142-Data!$M142)*Data!L142</f>
        <v>0.19444444444444445</v>
      </c>
      <c r="U142" s="2">
        <f>($I142-Data!$M142)</f>
        <v>0.33333333333333331</v>
      </c>
      <c r="V142" s="2">
        <f>($J142-Data!$N142)*Data!I142</f>
        <v>0.18518518518518515</v>
      </c>
      <c r="W142" s="2">
        <f>($J142-Data!$N142)*Data!J142</f>
        <v>0.11111111111111106</v>
      </c>
      <c r="X142" s="2">
        <f>($J142-Data!$N142)*Data!K142</f>
        <v>0.23163841807909602</v>
      </c>
      <c r="Y142" s="2">
        <f>($J142-Data!$N142)*Data!L142</f>
        <v>0.19444444444444445</v>
      </c>
      <c r="Z142" s="2">
        <f>($J142-Data!$N142)</f>
        <v>0.33333333333333331</v>
      </c>
      <c r="AA142" s="2">
        <f>($K142-Data!$O142)*Data!I142</f>
        <v>-0.37037037037037035</v>
      </c>
      <c r="AB142" s="2">
        <f>($K142-Data!$O142)*Data!J142</f>
        <v>-0.22222222222222215</v>
      </c>
      <c r="AC142" s="2">
        <f>($K142-Data!$O142)*Data!K142</f>
        <v>-0.4632768361581921</v>
      </c>
      <c r="AD142" s="2">
        <f>($K142-Data!$O142)*Data!L142</f>
        <v>-0.38888888888888895</v>
      </c>
      <c r="AE142" s="2">
        <f>($K142-Data!$O142)</f>
        <v>-0.66666666666666674</v>
      </c>
    </row>
    <row r="143" spans="2:31" x14ac:dyDescent="0.25">
      <c r="B143" s="2">
        <f>B$2*Data!$I143+B$3*Data!$J143+B$4*Data!$K143+B$5*Data!$L143+B$6</f>
        <v>0.30713276836158188</v>
      </c>
      <c r="C143" s="2">
        <f>C$2*Data!$I143+C$3*Data!$J143+C$4*Data!$K143+C$5*Data!$L143+C$6</f>
        <v>0.30713276836158188</v>
      </c>
      <c r="D143" s="2">
        <f>D$2*Data!$I143+D$3*Data!$J143+D$4*Data!$K143+D$5*Data!$L143+D$6</f>
        <v>0.30713276836158188</v>
      </c>
      <c r="E143" s="2">
        <f>EXP(B143)</f>
        <v>1.3595214575265222</v>
      </c>
      <c r="F143" s="2">
        <f>EXP(C143)</f>
        <v>1.3595214575265222</v>
      </c>
      <c r="G143" s="2">
        <f>EXP(D143)</f>
        <v>1.3595214575265222</v>
      </c>
      <c r="H143" s="2">
        <f>SUM(E143:G143)</f>
        <v>4.0785643725795664</v>
      </c>
      <c r="I143" s="2">
        <f>E143/$H143</f>
        <v>0.33333333333333337</v>
      </c>
      <c r="J143" s="2">
        <f>F143/$H143</f>
        <v>0.33333333333333337</v>
      </c>
      <c r="K143" s="2">
        <f>G143/$H143</f>
        <v>0.33333333333333337</v>
      </c>
      <c r="L143" s="2">
        <f>-Data!M143*LOG(I143)</f>
        <v>0</v>
      </c>
      <c r="M143" s="2">
        <f>-Data!N143*LOG(J143)</f>
        <v>0</v>
      </c>
      <c r="N143" s="2">
        <f>-Data!O143*LOG(K143)</f>
        <v>0.47712125471966238</v>
      </c>
      <c r="O143" s="2">
        <f>SUM(L143:N143)</f>
        <v>0.47712125471966238</v>
      </c>
      <c r="P143" s="2"/>
      <c r="Q143" s="2">
        <f>(I143-Data!M143)*Data!I143</f>
        <v>0.16666666666666666</v>
      </c>
      <c r="R143" s="2">
        <f>($I143-Data!$M143)*Data!J143</f>
        <v>8.3333333333333343E-2</v>
      </c>
      <c r="S143" s="2">
        <f>($I143-Data!$M143)*Data!K143</f>
        <v>0.25988700564971751</v>
      </c>
      <c r="T143" s="2">
        <f>($I143-Data!$M143)*Data!L143</f>
        <v>0.18055555555555555</v>
      </c>
      <c r="U143" s="2">
        <f>($I143-Data!$M143)</f>
        <v>0.33333333333333337</v>
      </c>
      <c r="V143" s="2">
        <f>($J143-Data!$N143)*Data!I143</f>
        <v>0.16666666666666666</v>
      </c>
      <c r="W143" s="2">
        <f>($J143-Data!$N143)*Data!J143</f>
        <v>8.3333333333333343E-2</v>
      </c>
      <c r="X143" s="2">
        <f>($J143-Data!$N143)*Data!K143</f>
        <v>0.25988700564971751</v>
      </c>
      <c r="Y143" s="2">
        <f>($J143-Data!$N143)*Data!L143</f>
        <v>0.18055555555555555</v>
      </c>
      <c r="Z143" s="2">
        <f>($J143-Data!$N143)</f>
        <v>0.33333333333333337</v>
      </c>
      <c r="AA143" s="2">
        <f>($K143-Data!$O143)*Data!I143</f>
        <v>-0.33333333333333326</v>
      </c>
      <c r="AB143" s="2">
        <f>($K143-Data!$O143)*Data!J143</f>
        <v>-0.16666666666666666</v>
      </c>
      <c r="AC143" s="2">
        <f>($K143-Data!$O143)*Data!K143</f>
        <v>-0.5197740112994349</v>
      </c>
      <c r="AD143" s="2">
        <f>($K143-Data!$O143)*Data!L143</f>
        <v>-0.36111111111111105</v>
      </c>
      <c r="AE143" s="2">
        <f>($K143-Data!$O143)</f>
        <v>-0.66666666666666663</v>
      </c>
    </row>
    <row r="144" spans="2:31" x14ac:dyDescent="0.25">
      <c r="B144" s="2">
        <f>B$2*Data!$I144+B$3*Data!$J144+B$4*Data!$K144+B$5*Data!$L144+B$6</f>
        <v>0.4142184557438795</v>
      </c>
      <c r="C144" s="2">
        <f>C$2*Data!$I144+C$3*Data!$J144+C$4*Data!$K144+C$5*Data!$L144+C$6</f>
        <v>0.4142184557438795</v>
      </c>
      <c r="D144" s="2">
        <f>D$2*Data!$I144+D$3*Data!$J144+D$4*Data!$K144+D$5*Data!$L144+D$6</f>
        <v>0.4142184557438795</v>
      </c>
      <c r="E144" s="2">
        <f>EXP(B144)</f>
        <v>1.5131876553150341</v>
      </c>
      <c r="F144" s="2">
        <f>EXP(C144)</f>
        <v>1.5131876553150341</v>
      </c>
      <c r="G144" s="2">
        <f>EXP(D144)</f>
        <v>1.5131876553150341</v>
      </c>
      <c r="H144" s="2">
        <f>SUM(E144:G144)</f>
        <v>4.5395629659451018</v>
      </c>
      <c r="I144" s="2">
        <f>E144/$H144</f>
        <v>0.33333333333333337</v>
      </c>
      <c r="J144" s="2">
        <f>F144/$H144</f>
        <v>0.33333333333333337</v>
      </c>
      <c r="K144" s="2">
        <f>G144/$H144</f>
        <v>0.33333333333333337</v>
      </c>
      <c r="L144" s="2">
        <f>-Data!M144*LOG(I144)</f>
        <v>0</v>
      </c>
      <c r="M144" s="2">
        <f>-Data!N144*LOG(J144)</f>
        <v>0</v>
      </c>
      <c r="N144" s="2">
        <f>-Data!O144*LOG(K144)</f>
        <v>0.47712125471966238</v>
      </c>
      <c r="O144" s="2">
        <f>SUM(L144:N144)</f>
        <v>0.47712125471966238</v>
      </c>
      <c r="P144" s="2"/>
      <c r="Q144" s="2">
        <f>(I144-Data!M144)*Data!I144</f>
        <v>0.31481481481481483</v>
      </c>
      <c r="R144" s="2">
        <f>($I144-Data!$M144)*Data!J144</f>
        <v>0.1388888888888889</v>
      </c>
      <c r="S144" s="2">
        <f>($I144-Data!$M144)*Data!K144</f>
        <v>0.28813559322033899</v>
      </c>
      <c r="T144" s="2">
        <f>($I144-Data!$M144)*Data!L144</f>
        <v>0.30555555555555558</v>
      </c>
      <c r="U144" s="2">
        <f>($I144-Data!$M144)</f>
        <v>0.33333333333333337</v>
      </c>
      <c r="V144" s="2">
        <f>($J144-Data!$N144)*Data!I144</f>
        <v>0.31481481481481483</v>
      </c>
      <c r="W144" s="2">
        <f>($J144-Data!$N144)*Data!J144</f>
        <v>0.1388888888888889</v>
      </c>
      <c r="X144" s="2">
        <f>($J144-Data!$N144)*Data!K144</f>
        <v>0.28813559322033899</v>
      </c>
      <c r="Y144" s="2">
        <f>($J144-Data!$N144)*Data!L144</f>
        <v>0.30555555555555558</v>
      </c>
      <c r="Z144" s="2">
        <f>($J144-Data!$N144)</f>
        <v>0.33333333333333337</v>
      </c>
      <c r="AA144" s="2">
        <f>($K144-Data!$O144)*Data!I144</f>
        <v>-0.62962962962962954</v>
      </c>
      <c r="AB144" s="2">
        <f>($K144-Data!$O144)*Data!J144</f>
        <v>-0.27777777777777773</v>
      </c>
      <c r="AC144" s="2">
        <f>($K144-Data!$O144)*Data!K144</f>
        <v>-0.57627118644067787</v>
      </c>
      <c r="AD144" s="2">
        <f>($K144-Data!$O144)*Data!L144</f>
        <v>-0.61111111111111105</v>
      </c>
      <c r="AE144" s="2">
        <f>($K144-Data!$O144)</f>
        <v>-0.66666666666666663</v>
      </c>
    </row>
    <row r="145" spans="2:31" x14ac:dyDescent="0.25">
      <c r="B145" s="2">
        <f>B$2*Data!$I145+B$3*Data!$J145+B$4*Data!$K145+B$5*Data!$L145+B$6</f>
        <v>0.38768832391713748</v>
      </c>
      <c r="C145" s="2">
        <f>C$2*Data!$I145+C$3*Data!$J145+C$4*Data!$K145+C$5*Data!$L145+C$6</f>
        <v>0.38768832391713748</v>
      </c>
      <c r="D145" s="2">
        <f>D$2*Data!$I145+D$3*Data!$J145+D$4*Data!$K145+D$5*Data!$L145+D$6</f>
        <v>0.38768832391713748</v>
      </c>
      <c r="E145" s="2">
        <f>EXP(B145)</f>
        <v>1.4735704360466009</v>
      </c>
      <c r="F145" s="2">
        <f>EXP(C145)</f>
        <v>1.4735704360466009</v>
      </c>
      <c r="G145" s="2">
        <f>EXP(D145)</f>
        <v>1.4735704360466009</v>
      </c>
      <c r="H145" s="2">
        <f>SUM(E145:G145)</f>
        <v>4.4207113081398024</v>
      </c>
      <c r="I145" s="2">
        <f>E145/$H145</f>
        <v>0.33333333333333337</v>
      </c>
      <c r="J145" s="2">
        <f>F145/$H145</f>
        <v>0.33333333333333337</v>
      </c>
      <c r="K145" s="2">
        <f>G145/$H145</f>
        <v>0.33333333333333337</v>
      </c>
      <c r="L145" s="2">
        <f>-Data!M145*LOG(I145)</f>
        <v>0</v>
      </c>
      <c r="M145" s="2">
        <f>-Data!N145*LOG(J145)</f>
        <v>0</v>
      </c>
      <c r="N145" s="2">
        <f>-Data!O145*LOG(K145)</f>
        <v>0.47712125471966238</v>
      </c>
      <c r="O145" s="2">
        <f>SUM(L145:N145)</f>
        <v>0.47712125471966238</v>
      </c>
      <c r="P145" s="2"/>
      <c r="Q145" s="2">
        <f>(I145-Data!M145)*Data!I145</f>
        <v>0.18518518518518517</v>
      </c>
      <c r="R145" s="2">
        <f>($I145-Data!$M145)*Data!J145</f>
        <v>0.19444444444444445</v>
      </c>
      <c r="S145" s="2">
        <f>($I145-Data!$M145)*Data!K145</f>
        <v>0.25988700564971751</v>
      </c>
      <c r="T145" s="2">
        <f>($I145-Data!$M145)*Data!L145</f>
        <v>0.31944444444444448</v>
      </c>
      <c r="U145" s="2">
        <f>($I145-Data!$M145)</f>
        <v>0.33333333333333337</v>
      </c>
      <c r="V145" s="2">
        <f>($J145-Data!$N145)*Data!I145</f>
        <v>0.18518518518518517</v>
      </c>
      <c r="W145" s="2">
        <f>($J145-Data!$N145)*Data!J145</f>
        <v>0.19444444444444445</v>
      </c>
      <c r="X145" s="2">
        <f>($J145-Data!$N145)*Data!K145</f>
        <v>0.25988700564971751</v>
      </c>
      <c r="Y145" s="2">
        <f>($J145-Data!$N145)*Data!L145</f>
        <v>0.31944444444444448</v>
      </c>
      <c r="Z145" s="2">
        <f>($J145-Data!$N145)</f>
        <v>0.33333333333333337</v>
      </c>
      <c r="AA145" s="2">
        <f>($K145-Data!$O145)*Data!I145</f>
        <v>-0.37037037037037029</v>
      </c>
      <c r="AB145" s="2">
        <f>($K145-Data!$O145)*Data!J145</f>
        <v>-0.38888888888888884</v>
      </c>
      <c r="AC145" s="2">
        <f>($K145-Data!$O145)*Data!K145</f>
        <v>-0.5197740112994349</v>
      </c>
      <c r="AD145" s="2">
        <f>($K145-Data!$O145)*Data!L145</f>
        <v>-0.63888888888888884</v>
      </c>
      <c r="AE145" s="2">
        <f>($K145-Data!$O145)</f>
        <v>-0.66666666666666663</v>
      </c>
    </row>
    <row r="146" spans="2:31" x14ac:dyDescent="0.25">
      <c r="B146" s="2">
        <f>B$2*Data!$I146+B$3*Data!$J146+B$4*Data!$K146+B$5*Data!$L146+B$6</f>
        <v>0.35127118644067801</v>
      </c>
      <c r="C146" s="2">
        <f>C$2*Data!$I146+C$3*Data!$J146+C$4*Data!$K146+C$5*Data!$L146+C$6</f>
        <v>0.35127118644067801</v>
      </c>
      <c r="D146" s="2">
        <f>D$2*Data!$I146+D$3*Data!$J146+D$4*Data!$K146+D$5*Data!$L146+D$6</f>
        <v>0.35127118644067801</v>
      </c>
      <c r="E146" s="2">
        <f>EXP(B146)</f>
        <v>1.4208725950516596</v>
      </c>
      <c r="F146" s="2">
        <f>EXP(C146)</f>
        <v>1.4208725950516596</v>
      </c>
      <c r="G146" s="2">
        <f>EXP(D146)</f>
        <v>1.4208725950516596</v>
      </c>
      <c r="H146" s="2">
        <f>SUM(E146:G146)</f>
        <v>4.2626177851549789</v>
      </c>
      <c r="I146" s="2">
        <f>E146/$H146</f>
        <v>0.33333333333333331</v>
      </c>
      <c r="J146" s="2">
        <f>F146/$H146</f>
        <v>0.33333333333333331</v>
      </c>
      <c r="K146" s="2">
        <f>G146/$H146</f>
        <v>0.33333333333333331</v>
      </c>
      <c r="L146" s="2">
        <f>-Data!M146*LOG(I146)</f>
        <v>0</v>
      </c>
      <c r="M146" s="2">
        <f>-Data!N146*LOG(J146)</f>
        <v>0</v>
      </c>
      <c r="N146" s="2">
        <f>-Data!O146*LOG(K146)</f>
        <v>0.47712125471966244</v>
      </c>
      <c r="O146" s="2">
        <f>SUM(L146:N146)</f>
        <v>0.47712125471966244</v>
      </c>
      <c r="P146" s="2"/>
      <c r="Q146" s="2">
        <f>(I146-Data!M146)*Data!I146</f>
        <v>0.19444444444444445</v>
      </c>
      <c r="R146" s="2">
        <f>($I146-Data!$M146)*Data!J146</f>
        <v>0.15277777777777776</v>
      </c>
      <c r="S146" s="2">
        <f>($I146-Data!$M146)*Data!K146</f>
        <v>0.25423728813559321</v>
      </c>
      <c r="T146" s="2">
        <f>($I146-Data!$M146)*Data!L146</f>
        <v>0.2361111111111111</v>
      </c>
      <c r="U146" s="2">
        <f>($I146-Data!$M146)</f>
        <v>0.33333333333333331</v>
      </c>
      <c r="V146" s="2">
        <f>($J146-Data!$N146)*Data!I146</f>
        <v>0.19444444444444445</v>
      </c>
      <c r="W146" s="2">
        <f>($J146-Data!$N146)*Data!J146</f>
        <v>0.15277777777777776</v>
      </c>
      <c r="X146" s="2">
        <f>($J146-Data!$N146)*Data!K146</f>
        <v>0.25423728813559321</v>
      </c>
      <c r="Y146" s="2">
        <f>($J146-Data!$N146)*Data!L146</f>
        <v>0.2361111111111111</v>
      </c>
      <c r="Z146" s="2">
        <f>($J146-Data!$N146)</f>
        <v>0.33333333333333331</v>
      </c>
      <c r="AA146" s="2">
        <f>($K146-Data!$O146)*Data!I146</f>
        <v>-0.38888888888888895</v>
      </c>
      <c r="AB146" s="2">
        <f>($K146-Data!$O146)*Data!J146</f>
        <v>-0.30555555555555558</v>
      </c>
      <c r="AC146" s="2">
        <f>($K146-Data!$O146)*Data!K146</f>
        <v>-0.50847457627118653</v>
      </c>
      <c r="AD146" s="2">
        <f>($K146-Data!$O146)*Data!L146</f>
        <v>-0.47222222222222232</v>
      </c>
      <c r="AE146" s="2">
        <f>($K146-Data!$O146)</f>
        <v>-0.66666666666666674</v>
      </c>
    </row>
    <row r="147" spans="2:31" x14ac:dyDescent="0.25">
      <c r="B147" s="2">
        <f>B$2*Data!$I147+B$3*Data!$J147+B$4*Data!$K147+B$5*Data!$L147+B$6</f>
        <v>0.32412900188323923</v>
      </c>
      <c r="C147" s="2">
        <f>C$2*Data!$I147+C$3*Data!$J147+C$4*Data!$K147+C$5*Data!$L147+C$6</f>
        <v>0.32412900188323923</v>
      </c>
      <c r="D147" s="2">
        <f>D$2*Data!$I147+D$3*Data!$J147+D$4*Data!$K147+D$5*Data!$L147+D$6</f>
        <v>0.32412900188323923</v>
      </c>
      <c r="E147" s="2">
        <f>EXP(B147)</f>
        <v>1.3828256827311012</v>
      </c>
      <c r="F147" s="2">
        <f>EXP(C147)</f>
        <v>1.3828256827311012</v>
      </c>
      <c r="G147" s="2">
        <f>EXP(D147)</f>
        <v>1.3828256827311012</v>
      </c>
      <c r="H147" s="2">
        <f>SUM(E147:G147)</f>
        <v>4.1484770481933033</v>
      </c>
      <c r="I147" s="2">
        <f>E147/$H147</f>
        <v>0.33333333333333337</v>
      </c>
      <c r="J147" s="2">
        <f>F147/$H147</f>
        <v>0.33333333333333337</v>
      </c>
      <c r="K147" s="2">
        <f>G147/$H147</f>
        <v>0.33333333333333337</v>
      </c>
      <c r="L147" s="2">
        <f>-Data!M147*LOG(I147)</f>
        <v>0</v>
      </c>
      <c r="M147" s="2">
        <f>-Data!N147*LOG(J147)</f>
        <v>0</v>
      </c>
      <c r="N147" s="2">
        <f>-Data!O147*LOG(K147)</f>
        <v>0.47712125471966238</v>
      </c>
      <c r="O147" s="2">
        <f>SUM(L147:N147)</f>
        <v>0.47712125471966238</v>
      </c>
      <c r="P147" s="2"/>
      <c r="Q147" s="2">
        <f>(I147-Data!M147)*Data!I147</f>
        <v>0.15740740740740741</v>
      </c>
      <c r="R147" s="2">
        <f>($I147-Data!$M147)*Data!J147</f>
        <v>0.1388888888888889</v>
      </c>
      <c r="S147" s="2">
        <f>($I147-Data!$M147)*Data!K147</f>
        <v>0.21468926553672318</v>
      </c>
      <c r="T147" s="2">
        <f>($I147-Data!$M147)*Data!L147</f>
        <v>0.23611111111111116</v>
      </c>
      <c r="U147" s="2">
        <f>($I147-Data!$M147)</f>
        <v>0.33333333333333337</v>
      </c>
      <c r="V147" s="2">
        <f>($J147-Data!$N147)*Data!I147</f>
        <v>0.15740740740740741</v>
      </c>
      <c r="W147" s="2">
        <f>($J147-Data!$N147)*Data!J147</f>
        <v>0.1388888888888889</v>
      </c>
      <c r="X147" s="2">
        <f>($J147-Data!$N147)*Data!K147</f>
        <v>0.21468926553672318</v>
      </c>
      <c r="Y147" s="2">
        <f>($J147-Data!$N147)*Data!L147</f>
        <v>0.23611111111111116</v>
      </c>
      <c r="Z147" s="2">
        <f>($J147-Data!$N147)</f>
        <v>0.33333333333333337</v>
      </c>
      <c r="AA147" s="2">
        <f>($K147-Data!$O147)*Data!I147</f>
        <v>-0.31481481481481477</v>
      </c>
      <c r="AB147" s="2">
        <f>($K147-Data!$O147)*Data!J147</f>
        <v>-0.27777777777777773</v>
      </c>
      <c r="AC147" s="2">
        <f>($K147-Data!$O147)*Data!K147</f>
        <v>-0.42937853107344626</v>
      </c>
      <c r="AD147" s="2">
        <f>($K147-Data!$O147)*Data!L147</f>
        <v>-0.47222222222222221</v>
      </c>
      <c r="AE147" s="2">
        <f>($K147-Data!$O147)</f>
        <v>-0.66666666666666663</v>
      </c>
    </row>
    <row r="148" spans="2:31" x14ac:dyDescent="0.25">
      <c r="B148" s="2">
        <f>B$2*Data!$I148+B$3*Data!$J148+B$4*Data!$K148+B$5*Data!$L148+B$6</f>
        <v>0.37596516007532954</v>
      </c>
      <c r="C148" s="2">
        <f>C$2*Data!$I148+C$3*Data!$J148+C$4*Data!$K148+C$5*Data!$L148+C$6</f>
        <v>0.37596516007532954</v>
      </c>
      <c r="D148" s="2">
        <f>D$2*Data!$I148+D$3*Data!$J148+D$4*Data!$K148+D$5*Data!$L148+D$6</f>
        <v>0.37596516007532954</v>
      </c>
      <c r="E148" s="2">
        <f>EXP(B148)</f>
        <v>1.4563963921465812</v>
      </c>
      <c r="F148" s="2">
        <f>EXP(C148)</f>
        <v>1.4563963921465812</v>
      </c>
      <c r="G148" s="2">
        <f>EXP(D148)</f>
        <v>1.4563963921465812</v>
      </c>
      <c r="H148" s="2">
        <f>SUM(E148:G148)</f>
        <v>4.3691891764397432</v>
      </c>
      <c r="I148" s="2">
        <f>E148/$H148</f>
        <v>0.33333333333333337</v>
      </c>
      <c r="J148" s="2">
        <f>F148/$H148</f>
        <v>0.33333333333333337</v>
      </c>
      <c r="K148" s="2">
        <f>G148/$H148</f>
        <v>0.33333333333333337</v>
      </c>
      <c r="L148" s="2">
        <f>-Data!M148*LOG(I148)</f>
        <v>0</v>
      </c>
      <c r="M148" s="2">
        <f>-Data!N148*LOG(J148)</f>
        <v>0</v>
      </c>
      <c r="N148" s="2">
        <f>-Data!O148*LOG(K148)</f>
        <v>0.47712125471966238</v>
      </c>
      <c r="O148" s="2">
        <f>SUM(L148:N148)</f>
        <v>0.47712125471966238</v>
      </c>
      <c r="P148" s="2"/>
      <c r="Q148" s="2">
        <f>(I148-Data!M148)*Data!I148</f>
        <v>0.24074074074074076</v>
      </c>
      <c r="R148" s="2">
        <f>($I148-Data!$M148)*Data!J148</f>
        <v>0.15277777777777779</v>
      </c>
      <c r="S148" s="2">
        <f>($I148-Data!$M148)*Data!K148</f>
        <v>0.24858757062146897</v>
      </c>
      <c r="T148" s="2">
        <f>($I148-Data!$M148)*Data!L148</f>
        <v>0.27777777777777785</v>
      </c>
      <c r="U148" s="2">
        <f>($I148-Data!$M148)</f>
        <v>0.33333333333333337</v>
      </c>
      <c r="V148" s="2">
        <f>($J148-Data!$N148)*Data!I148</f>
        <v>0.24074074074074076</v>
      </c>
      <c r="W148" s="2">
        <f>($J148-Data!$N148)*Data!J148</f>
        <v>0.15277777777777779</v>
      </c>
      <c r="X148" s="2">
        <f>($J148-Data!$N148)*Data!K148</f>
        <v>0.24858757062146897</v>
      </c>
      <c r="Y148" s="2">
        <f>($J148-Data!$N148)*Data!L148</f>
        <v>0.27777777777777785</v>
      </c>
      <c r="Z148" s="2">
        <f>($J148-Data!$N148)</f>
        <v>0.33333333333333337</v>
      </c>
      <c r="AA148" s="2">
        <f>($K148-Data!$O148)*Data!I148</f>
        <v>-0.48148148148148145</v>
      </c>
      <c r="AB148" s="2">
        <f>($K148-Data!$O148)*Data!J148</f>
        <v>-0.30555555555555552</v>
      </c>
      <c r="AC148" s="2">
        <f>($K148-Data!$O148)*Data!K148</f>
        <v>-0.49717514124293782</v>
      </c>
      <c r="AD148" s="2">
        <f>($K148-Data!$O148)*Data!L148</f>
        <v>-0.55555555555555558</v>
      </c>
      <c r="AE148" s="2">
        <f>($K148-Data!$O148)</f>
        <v>-0.66666666666666663</v>
      </c>
    </row>
    <row r="149" spans="2:31" x14ac:dyDescent="0.25">
      <c r="B149" s="2">
        <f>B$2*Data!$I149+B$3*Data!$J149+B$4*Data!$K149+B$5*Data!$L149+B$6</f>
        <v>0.38629943502824859</v>
      </c>
      <c r="C149" s="2">
        <f>C$2*Data!$I149+C$3*Data!$J149+C$4*Data!$K149+C$5*Data!$L149+C$6</f>
        <v>0.38629943502824859</v>
      </c>
      <c r="D149" s="2">
        <f>D$2*Data!$I149+D$3*Data!$J149+D$4*Data!$K149+D$5*Data!$L149+D$6</f>
        <v>0.38629943502824859</v>
      </c>
      <c r="E149" s="2">
        <f>EXP(B149)</f>
        <v>1.4715252310509963</v>
      </c>
      <c r="F149" s="2">
        <f>EXP(C149)</f>
        <v>1.4715252310509963</v>
      </c>
      <c r="G149" s="2">
        <f>EXP(D149)</f>
        <v>1.4715252310509963</v>
      </c>
      <c r="H149" s="2">
        <f>SUM(E149:G149)</f>
        <v>4.4145756931529885</v>
      </c>
      <c r="I149" s="2">
        <f>E149/$H149</f>
        <v>0.33333333333333337</v>
      </c>
      <c r="J149" s="2">
        <f>F149/$H149</f>
        <v>0.33333333333333337</v>
      </c>
      <c r="K149" s="2">
        <f>G149/$H149</f>
        <v>0.33333333333333337</v>
      </c>
      <c r="L149" s="2">
        <f>-Data!M149*LOG(I149)</f>
        <v>0</v>
      </c>
      <c r="M149" s="2">
        <f>-Data!N149*LOG(J149)</f>
        <v>0</v>
      </c>
      <c r="N149" s="2">
        <f>-Data!O149*LOG(K149)</f>
        <v>0.47712125471966238</v>
      </c>
      <c r="O149" s="2">
        <f>SUM(L149:N149)</f>
        <v>0.47712125471966238</v>
      </c>
      <c r="P149" s="2"/>
      <c r="Q149" s="2">
        <f>(I149-Data!M149)*Data!I149</f>
        <v>0.22222222222222224</v>
      </c>
      <c r="R149" s="2">
        <f>($I149-Data!$M149)*Data!J149</f>
        <v>0.15277777777777779</v>
      </c>
      <c r="S149" s="2">
        <f>($I149-Data!$M149)*Data!K149</f>
        <v>0.25988700564971751</v>
      </c>
      <c r="T149" s="2">
        <f>($I149-Data!$M149)*Data!L149</f>
        <v>0.31944444444444448</v>
      </c>
      <c r="U149" s="2">
        <f>($I149-Data!$M149)</f>
        <v>0.33333333333333337</v>
      </c>
      <c r="V149" s="2">
        <f>($J149-Data!$N149)*Data!I149</f>
        <v>0.22222222222222224</v>
      </c>
      <c r="W149" s="2">
        <f>($J149-Data!$N149)*Data!J149</f>
        <v>0.15277777777777779</v>
      </c>
      <c r="X149" s="2">
        <f>($J149-Data!$N149)*Data!K149</f>
        <v>0.25988700564971751</v>
      </c>
      <c r="Y149" s="2">
        <f>($J149-Data!$N149)*Data!L149</f>
        <v>0.31944444444444448</v>
      </c>
      <c r="Z149" s="2">
        <f>($J149-Data!$N149)</f>
        <v>0.33333333333333337</v>
      </c>
      <c r="AA149" s="2">
        <f>($K149-Data!$O149)*Data!I149</f>
        <v>-0.44444444444444442</v>
      </c>
      <c r="AB149" s="2">
        <f>($K149-Data!$O149)*Data!J149</f>
        <v>-0.30555555555555552</v>
      </c>
      <c r="AC149" s="2">
        <f>($K149-Data!$O149)*Data!K149</f>
        <v>-0.5197740112994349</v>
      </c>
      <c r="AD149" s="2">
        <f>($K149-Data!$O149)*Data!L149</f>
        <v>-0.63888888888888884</v>
      </c>
      <c r="AE149" s="2">
        <f>($K149-Data!$O149)</f>
        <v>-0.66666666666666663</v>
      </c>
    </row>
    <row r="150" spans="2:31" x14ac:dyDescent="0.25">
      <c r="B150" s="2">
        <f>B$2*Data!$I150+B$3*Data!$J150+B$4*Data!$K150+B$5*Data!$L150+B$6</f>
        <v>0.37921374764595106</v>
      </c>
      <c r="C150" s="2">
        <f>C$2*Data!$I150+C$3*Data!$J150+C$4*Data!$K150+C$5*Data!$L150+C$6</f>
        <v>0.37921374764595106</v>
      </c>
      <c r="D150" s="2">
        <f>D$2*Data!$I150+D$3*Data!$J150+D$4*Data!$K150+D$5*Data!$L150+D$6</f>
        <v>0.37921374764595106</v>
      </c>
      <c r="E150" s="2">
        <f>EXP(B150)</f>
        <v>1.4611353166019334</v>
      </c>
      <c r="F150" s="2">
        <f>EXP(C150)</f>
        <v>1.4611353166019334</v>
      </c>
      <c r="G150" s="2">
        <f>EXP(D150)</f>
        <v>1.4611353166019334</v>
      </c>
      <c r="H150" s="2">
        <f>SUM(E150:G150)</f>
        <v>4.3834059498058</v>
      </c>
      <c r="I150" s="2">
        <f>E150/$H150</f>
        <v>0.33333333333333337</v>
      </c>
      <c r="J150" s="2">
        <f>F150/$H150</f>
        <v>0.33333333333333337</v>
      </c>
      <c r="K150" s="2">
        <f>G150/$H150</f>
        <v>0.33333333333333337</v>
      </c>
      <c r="L150" s="2">
        <f>-Data!M150*LOG(I150)</f>
        <v>0</v>
      </c>
      <c r="M150" s="2">
        <f>-Data!N150*LOG(J150)</f>
        <v>0</v>
      </c>
      <c r="N150" s="2">
        <f>-Data!O150*LOG(K150)</f>
        <v>0.47712125471966238</v>
      </c>
      <c r="O150" s="2">
        <f>SUM(L150:N150)</f>
        <v>0.47712125471966238</v>
      </c>
      <c r="P150" s="2"/>
      <c r="Q150" s="2">
        <f>(I150-Data!M150)*Data!I150</f>
        <v>0.24074074074074076</v>
      </c>
      <c r="R150" s="2">
        <f>($I150-Data!$M150)*Data!J150</f>
        <v>0.15277777777777779</v>
      </c>
      <c r="S150" s="2">
        <f>($I150-Data!$M150)*Data!K150</f>
        <v>0.23163841807909605</v>
      </c>
      <c r="T150" s="2">
        <f>($I150-Data!$M150)*Data!L150</f>
        <v>0.30555555555555558</v>
      </c>
      <c r="U150" s="2">
        <f>($I150-Data!$M150)</f>
        <v>0.33333333333333337</v>
      </c>
      <c r="V150" s="2">
        <f>($J150-Data!$N150)*Data!I150</f>
        <v>0.24074074074074076</v>
      </c>
      <c r="W150" s="2">
        <f>($J150-Data!$N150)*Data!J150</f>
        <v>0.15277777777777779</v>
      </c>
      <c r="X150" s="2">
        <f>($J150-Data!$N150)*Data!K150</f>
        <v>0.23163841807909605</v>
      </c>
      <c r="Y150" s="2">
        <f>($J150-Data!$N150)*Data!L150</f>
        <v>0.30555555555555558</v>
      </c>
      <c r="Z150" s="2">
        <f>($J150-Data!$N150)</f>
        <v>0.33333333333333337</v>
      </c>
      <c r="AA150" s="2">
        <f>($K150-Data!$O150)*Data!I150</f>
        <v>-0.48148148148148145</v>
      </c>
      <c r="AB150" s="2">
        <f>($K150-Data!$O150)*Data!J150</f>
        <v>-0.30555555555555552</v>
      </c>
      <c r="AC150" s="2">
        <f>($K150-Data!$O150)*Data!K150</f>
        <v>-0.46327683615819204</v>
      </c>
      <c r="AD150" s="2">
        <f>($K150-Data!$O150)*Data!L150</f>
        <v>-0.61111111111111105</v>
      </c>
      <c r="AE150" s="2">
        <f>($K150-Data!$O150)</f>
        <v>-0.66666666666666663</v>
      </c>
    </row>
    <row r="151" spans="2:31" x14ac:dyDescent="0.25">
      <c r="B151" s="2">
        <f>B$2*Data!$I151+B$3*Data!$J151+B$4*Data!$K151+B$5*Data!$L151+B$6</f>
        <v>0.31532485875706218</v>
      </c>
      <c r="C151" s="2">
        <f>C$2*Data!$I151+C$3*Data!$J151+C$4*Data!$K151+C$5*Data!$L151+C$6</f>
        <v>0.31532485875706218</v>
      </c>
      <c r="D151" s="2">
        <f>D$2*Data!$I151+D$3*Data!$J151+D$4*Data!$K151+D$5*Data!$L151+D$6</f>
        <v>0.31532485875706218</v>
      </c>
      <c r="E151" s="2">
        <f>EXP(B151)</f>
        <v>1.3707045240053704</v>
      </c>
      <c r="F151" s="2">
        <f>EXP(C151)</f>
        <v>1.3707045240053704</v>
      </c>
      <c r="G151" s="2">
        <f>EXP(D151)</f>
        <v>1.3707045240053704</v>
      </c>
      <c r="H151" s="2">
        <f>SUM(E151:G151)</f>
        <v>4.1121135720161108</v>
      </c>
      <c r="I151" s="2">
        <f>E151/$H151</f>
        <v>0.33333333333333337</v>
      </c>
      <c r="J151" s="2">
        <f>F151/$H151</f>
        <v>0.33333333333333337</v>
      </c>
      <c r="K151" s="2">
        <f>G151/$H151</f>
        <v>0.33333333333333337</v>
      </c>
      <c r="L151" s="2">
        <f>-Data!M151*LOG(I151)</f>
        <v>0</v>
      </c>
      <c r="M151" s="2">
        <f>-Data!N151*LOG(J151)</f>
        <v>0</v>
      </c>
      <c r="N151" s="2">
        <f>-Data!O151*LOG(K151)</f>
        <v>0.47712125471966238</v>
      </c>
      <c r="O151" s="2">
        <f>SUM(L151:N151)</f>
        <v>0.47712125471966238</v>
      </c>
      <c r="P151" s="2"/>
      <c r="Q151" s="2">
        <f>(I151-Data!M151)*Data!I151</f>
        <v>0.1388888888888889</v>
      </c>
      <c r="R151" s="2">
        <f>($I151-Data!$M151)*Data!J151</f>
        <v>9.7222222222222238E-2</v>
      </c>
      <c r="S151" s="2">
        <f>($I151-Data!$M151)*Data!K151</f>
        <v>0.23163841807909605</v>
      </c>
      <c r="T151" s="2">
        <f>($I151-Data!$M151)*Data!L151</f>
        <v>0.25</v>
      </c>
      <c r="U151" s="2">
        <f>($I151-Data!$M151)</f>
        <v>0.33333333333333337</v>
      </c>
      <c r="V151" s="2">
        <f>($J151-Data!$N151)*Data!I151</f>
        <v>0.1388888888888889</v>
      </c>
      <c r="W151" s="2">
        <f>($J151-Data!$N151)*Data!J151</f>
        <v>9.7222222222222238E-2</v>
      </c>
      <c r="X151" s="2">
        <f>($J151-Data!$N151)*Data!K151</f>
        <v>0.23163841807909605</v>
      </c>
      <c r="Y151" s="2">
        <f>($J151-Data!$N151)*Data!L151</f>
        <v>0.25</v>
      </c>
      <c r="Z151" s="2">
        <f>($J151-Data!$N151)</f>
        <v>0.33333333333333337</v>
      </c>
      <c r="AA151" s="2">
        <f>($K151-Data!$O151)*Data!I151</f>
        <v>-0.27777777777777773</v>
      </c>
      <c r="AB151" s="2">
        <f>($K151-Data!$O151)*Data!J151</f>
        <v>-0.19444444444444445</v>
      </c>
      <c r="AC151" s="2">
        <f>($K151-Data!$O151)*Data!K151</f>
        <v>-0.46327683615819204</v>
      </c>
      <c r="AD151" s="2">
        <f>($K151-Data!$O151)*Data!L151</f>
        <v>-0.5</v>
      </c>
      <c r="AE151" s="2">
        <f>($K151-Data!$O151)</f>
        <v>-0.66666666666666663</v>
      </c>
    </row>
    <row r="152" spans="2:31" x14ac:dyDescent="0.25">
      <c r="B152" s="2">
        <f>B$2*Data!$I152+B$3*Data!$J152+B$4*Data!$K152+B$5*Data!$L152+B$6</f>
        <v>0.39416195856873826</v>
      </c>
      <c r="C152" s="2">
        <f>C$2*Data!$I152+C$3*Data!$J152+C$4*Data!$K152+C$5*Data!$L152+C$6</f>
        <v>0.39416195856873826</v>
      </c>
      <c r="D152" s="2">
        <f>D$2*Data!$I152+D$3*Data!$J152+D$4*Data!$K152+D$5*Data!$L152+D$6</f>
        <v>0.39416195856873826</v>
      </c>
      <c r="E152" s="2">
        <f>EXP(B152)</f>
        <v>1.483140736574917</v>
      </c>
      <c r="F152" s="2">
        <f>EXP(C152)</f>
        <v>1.483140736574917</v>
      </c>
      <c r="G152" s="2">
        <f>EXP(D152)</f>
        <v>1.483140736574917</v>
      </c>
      <c r="H152" s="2">
        <f>SUM(E152:G152)</f>
        <v>4.4494222097247507</v>
      </c>
      <c r="I152" s="2">
        <f>E152/$H152</f>
        <v>0.33333333333333337</v>
      </c>
      <c r="J152" s="2">
        <f>F152/$H152</f>
        <v>0.33333333333333337</v>
      </c>
      <c r="K152" s="2">
        <f>G152/$H152</f>
        <v>0.33333333333333337</v>
      </c>
      <c r="L152" s="2">
        <f>-Data!M152*LOG(I152)</f>
        <v>0</v>
      </c>
      <c r="M152" s="2">
        <f>-Data!N152*LOG(J152)</f>
        <v>0</v>
      </c>
      <c r="N152" s="2">
        <f>-Data!O152*LOG(K152)</f>
        <v>0.47712125471966238</v>
      </c>
      <c r="O152" s="2">
        <f>SUM(L152:N152)</f>
        <v>0.47712125471966238</v>
      </c>
      <c r="P152" s="2"/>
      <c r="Q152" s="2">
        <f>(I152-Data!M152)*Data!I152</f>
        <v>0.23148148148148145</v>
      </c>
      <c r="R152" s="2">
        <f>($I152-Data!$M152)*Data!J152</f>
        <v>0.16666666666666669</v>
      </c>
      <c r="S152" s="2">
        <f>($I152-Data!$M152)*Data!K152</f>
        <v>0.27683615819209045</v>
      </c>
      <c r="T152" s="2">
        <f>($I152-Data!$M152)*Data!L152</f>
        <v>0.30555555555555558</v>
      </c>
      <c r="U152" s="2">
        <f>($I152-Data!$M152)</f>
        <v>0.33333333333333337</v>
      </c>
      <c r="V152" s="2">
        <f>($J152-Data!$N152)*Data!I152</f>
        <v>0.23148148148148145</v>
      </c>
      <c r="W152" s="2">
        <f>($J152-Data!$N152)*Data!J152</f>
        <v>0.16666666666666669</v>
      </c>
      <c r="X152" s="2">
        <f>($J152-Data!$N152)*Data!K152</f>
        <v>0.27683615819209045</v>
      </c>
      <c r="Y152" s="2">
        <f>($J152-Data!$N152)*Data!L152</f>
        <v>0.30555555555555558</v>
      </c>
      <c r="Z152" s="2">
        <f>($J152-Data!$N152)</f>
        <v>0.33333333333333337</v>
      </c>
      <c r="AA152" s="2">
        <f>($K152-Data!$O152)*Data!I152</f>
        <v>-0.46296296296296285</v>
      </c>
      <c r="AB152" s="2">
        <f>($K152-Data!$O152)*Data!J152</f>
        <v>-0.33333333333333331</v>
      </c>
      <c r="AC152" s="2">
        <f>($K152-Data!$O152)*Data!K152</f>
        <v>-0.5536723163841808</v>
      </c>
      <c r="AD152" s="2">
        <f>($K152-Data!$O152)*Data!L152</f>
        <v>-0.61111111111111105</v>
      </c>
      <c r="AE152" s="2">
        <f>($K152-Data!$O152)</f>
        <v>-0.66666666666666663</v>
      </c>
    </row>
    <row r="153" spans="2:31" x14ac:dyDescent="0.25">
      <c r="B153" s="2">
        <f>B$2*Data!$I153+B$3*Data!$J153+B$4*Data!$K153+B$5*Data!$L153+B$6</f>
        <v>0.40049435028248581</v>
      </c>
      <c r="C153" s="2">
        <f>C$2*Data!$I153+C$3*Data!$J153+C$4*Data!$K153+C$5*Data!$L153+C$6</f>
        <v>0.40049435028248581</v>
      </c>
      <c r="D153" s="2">
        <f>D$2*Data!$I153+D$3*Data!$J153+D$4*Data!$K153+D$5*Data!$L153+D$6</f>
        <v>0.40049435028248581</v>
      </c>
      <c r="E153" s="2">
        <f>EXP(B153)</f>
        <v>1.4925623639197125</v>
      </c>
      <c r="F153" s="2">
        <f>EXP(C153)</f>
        <v>1.4925623639197125</v>
      </c>
      <c r="G153" s="2">
        <f>EXP(D153)</f>
        <v>1.4925623639197125</v>
      </c>
      <c r="H153" s="2">
        <f>SUM(E153:G153)</f>
        <v>4.4776870917591376</v>
      </c>
      <c r="I153" s="2">
        <f>E153/$H153</f>
        <v>0.33333333333333331</v>
      </c>
      <c r="J153" s="2">
        <f>F153/$H153</f>
        <v>0.33333333333333331</v>
      </c>
      <c r="K153" s="2">
        <f>G153/$H153</f>
        <v>0.33333333333333331</v>
      </c>
      <c r="L153" s="2">
        <f>-Data!M153*LOG(I153)</f>
        <v>0</v>
      </c>
      <c r="M153" s="2">
        <f>-Data!N153*LOG(J153)</f>
        <v>0</v>
      </c>
      <c r="N153" s="2">
        <f>-Data!O153*LOG(K153)</f>
        <v>0.47712125471966244</v>
      </c>
      <c r="O153" s="2">
        <f>SUM(L153:N153)</f>
        <v>0.47712125471966244</v>
      </c>
      <c r="P153" s="2"/>
      <c r="Q153" s="2">
        <f>(I153-Data!M153)*Data!I153</f>
        <v>0.22222222222222221</v>
      </c>
      <c r="R153" s="2">
        <f>($I153-Data!$M153)*Data!J153</f>
        <v>0.1805555555555555</v>
      </c>
      <c r="S153" s="2">
        <f>($I153-Data!$M153)*Data!K153</f>
        <v>0.2655367231638418</v>
      </c>
      <c r="T153" s="2">
        <f>($I153-Data!$M153)*Data!L153</f>
        <v>0.33333333333333331</v>
      </c>
      <c r="U153" s="2">
        <f>($I153-Data!$M153)</f>
        <v>0.33333333333333331</v>
      </c>
      <c r="V153" s="2">
        <f>($J153-Data!$N153)*Data!I153</f>
        <v>0.22222222222222221</v>
      </c>
      <c r="W153" s="2">
        <f>($J153-Data!$N153)*Data!J153</f>
        <v>0.1805555555555555</v>
      </c>
      <c r="X153" s="2">
        <f>($J153-Data!$N153)*Data!K153</f>
        <v>0.2655367231638418</v>
      </c>
      <c r="Y153" s="2">
        <f>($J153-Data!$N153)*Data!L153</f>
        <v>0.33333333333333331</v>
      </c>
      <c r="Z153" s="2">
        <f>($J153-Data!$N153)</f>
        <v>0.33333333333333331</v>
      </c>
      <c r="AA153" s="2">
        <f>($K153-Data!$O153)*Data!I153</f>
        <v>-0.44444444444444448</v>
      </c>
      <c r="AB153" s="2">
        <f>($K153-Data!$O153)*Data!J153</f>
        <v>-0.36111111111111105</v>
      </c>
      <c r="AC153" s="2">
        <f>($K153-Data!$O153)*Data!K153</f>
        <v>-0.53107344632768372</v>
      </c>
      <c r="AD153" s="2">
        <f>($K153-Data!$O153)*Data!L153</f>
        <v>-0.66666666666666674</v>
      </c>
      <c r="AE153" s="2">
        <f>($K153-Data!$O153)</f>
        <v>-0.66666666666666674</v>
      </c>
    </row>
    <row r="154" spans="2:31" x14ac:dyDescent="0.25">
      <c r="B154" s="2">
        <f>B$2*Data!$I154+B$3*Data!$J154+B$4*Data!$K154+B$5*Data!$L154+B$6</f>
        <v>0.37118644067796613</v>
      </c>
      <c r="C154" s="2">
        <f>C$2*Data!$I154+C$3*Data!$J154+C$4*Data!$K154+C$5*Data!$L154+C$6</f>
        <v>0.37118644067796613</v>
      </c>
      <c r="D154" s="2">
        <f>D$2*Data!$I154+D$3*Data!$J154+D$4*Data!$K154+D$5*Data!$L154+D$6</f>
        <v>0.37118644067796613</v>
      </c>
      <c r="E154" s="2">
        <f>EXP(B154)</f>
        <v>1.4494532852498025</v>
      </c>
      <c r="F154" s="2">
        <f>EXP(C154)</f>
        <v>1.4494532852498025</v>
      </c>
      <c r="G154" s="2">
        <f>EXP(D154)</f>
        <v>1.4494532852498025</v>
      </c>
      <c r="H154" s="2">
        <f>SUM(E154:G154)</f>
        <v>4.3483598557494076</v>
      </c>
      <c r="I154" s="2">
        <f>E154/$H154</f>
        <v>0.33333333333333331</v>
      </c>
      <c r="J154" s="2">
        <f>F154/$H154</f>
        <v>0.33333333333333331</v>
      </c>
      <c r="K154" s="2">
        <f>G154/$H154</f>
        <v>0.33333333333333331</v>
      </c>
      <c r="L154" s="2">
        <f>-Data!M154*LOG(I154)</f>
        <v>0</v>
      </c>
      <c r="M154" s="2">
        <f>-Data!N154*LOG(J154)</f>
        <v>0</v>
      </c>
      <c r="N154" s="2">
        <f>-Data!O154*LOG(K154)</f>
        <v>0.47712125471966244</v>
      </c>
      <c r="O154" s="2">
        <f>SUM(L154:N154)</f>
        <v>0.47712125471966244</v>
      </c>
      <c r="P154" s="2"/>
      <c r="Q154" s="2">
        <f>(I154-Data!M154)*Data!I154</f>
        <v>0.22222222222222221</v>
      </c>
      <c r="R154" s="2">
        <f>($I154-Data!$M154)*Data!J154</f>
        <v>0.13888888888888887</v>
      </c>
      <c r="S154" s="2">
        <f>($I154-Data!$M154)*Data!K154</f>
        <v>0.23728813559322032</v>
      </c>
      <c r="T154" s="2">
        <f>($I154-Data!$M154)*Data!L154</f>
        <v>0.30555555555555552</v>
      </c>
      <c r="U154" s="2">
        <f>($I154-Data!$M154)</f>
        <v>0.33333333333333331</v>
      </c>
      <c r="V154" s="2">
        <f>($J154-Data!$N154)*Data!I154</f>
        <v>0.22222222222222221</v>
      </c>
      <c r="W154" s="2">
        <f>($J154-Data!$N154)*Data!J154</f>
        <v>0.13888888888888887</v>
      </c>
      <c r="X154" s="2">
        <f>($J154-Data!$N154)*Data!K154</f>
        <v>0.23728813559322032</v>
      </c>
      <c r="Y154" s="2">
        <f>($J154-Data!$N154)*Data!L154</f>
        <v>0.30555555555555552</v>
      </c>
      <c r="Z154" s="2">
        <f>($J154-Data!$N154)</f>
        <v>0.33333333333333331</v>
      </c>
      <c r="AA154" s="2">
        <f>($K154-Data!$O154)*Data!I154</f>
        <v>-0.44444444444444448</v>
      </c>
      <c r="AB154" s="2">
        <f>($K154-Data!$O154)*Data!J154</f>
        <v>-0.27777777777777779</v>
      </c>
      <c r="AC154" s="2">
        <f>($K154-Data!$O154)*Data!K154</f>
        <v>-0.47457627118644075</v>
      </c>
      <c r="AD154" s="2">
        <f>($K154-Data!$O154)*Data!L154</f>
        <v>-0.61111111111111116</v>
      </c>
      <c r="AE154" s="2">
        <f>($K154-Data!$O154)</f>
        <v>-0.66666666666666674</v>
      </c>
    </row>
    <row r="155" spans="2:31" x14ac:dyDescent="0.25">
      <c r="B155" s="2">
        <f>B$2*Data!$I155+B$3*Data!$J155+B$4*Data!$K155+B$5*Data!$L155+B$6</f>
        <v>0.31918549905838045</v>
      </c>
      <c r="C155" s="2">
        <f>C$2*Data!$I155+C$3*Data!$J155+C$4*Data!$K155+C$5*Data!$L155+C$6</f>
        <v>0.31918549905838045</v>
      </c>
      <c r="D155" s="2">
        <f>D$2*Data!$I155+D$3*Data!$J155+D$4*Data!$K155+D$5*Data!$L155+D$6</f>
        <v>0.31918549905838045</v>
      </c>
      <c r="E155" s="2">
        <f>EXP(B155)</f>
        <v>1.3760065491525719</v>
      </c>
      <c r="F155" s="2">
        <f>EXP(C155)</f>
        <v>1.3760065491525719</v>
      </c>
      <c r="G155" s="2">
        <f>EXP(D155)</f>
        <v>1.3760065491525719</v>
      </c>
      <c r="H155" s="2">
        <f>SUM(E155:G155)</f>
        <v>4.128019647457716</v>
      </c>
      <c r="I155" s="2">
        <f>E155/$H155</f>
        <v>0.33333333333333331</v>
      </c>
      <c r="J155" s="2">
        <f>F155/$H155</f>
        <v>0.33333333333333331</v>
      </c>
      <c r="K155" s="2">
        <f>G155/$H155</f>
        <v>0.33333333333333331</v>
      </c>
      <c r="L155" s="2">
        <f>-Data!M155*LOG(I155)</f>
        <v>0</v>
      </c>
      <c r="M155" s="2">
        <f>-Data!N155*LOG(J155)</f>
        <v>0</v>
      </c>
      <c r="N155" s="2">
        <f>-Data!O155*LOG(K155)</f>
        <v>0.47712125471966244</v>
      </c>
      <c r="O155" s="2">
        <f>SUM(L155:N155)</f>
        <v>0.47712125471966244</v>
      </c>
      <c r="P155" s="2"/>
      <c r="Q155" s="2">
        <f>(I155-Data!M155)*Data!I155</f>
        <v>0.18518518518518515</v>
      </c>
      <c r="R155" s="2">
        <f>($I155-Data!$M155)*Data!J155</f>
        <v>6.9444444444444434E-2</v>
      </c>
      <c r="S155" s="2">
        <f>($I155-Data!$M155)*Data!K155</f>
        <v>0.22598870056497172</v>
      </c>
      <c r="T155" s="2">
        <f>($I155-Data!$M155)*Data!L155</f>
        <v>0.25</v>
      </c>
      <c r="U155" s="2">
        <f>($I155-Data!$M155)</f>
        <v>0.33333333333333331</v>
      </c>
      <c r="V155" s="2">
        <f>($J155-Data!$N155)*Data!I155</f>
        <v>0.18518518518518515</v>
      </c>
      <c r="W155" s="2">
        <f>($J155-Data!$N155)*Data!J155</f>
        <v>6.9444444444444434E-2</v>
      </c>
      <c r="X155" s="2">
        <f>($J155-Data!$N155)*Data!K155</f>
        <v>0.22598870056497172</v>
      </c>
      <c r="Y155" s="2">
        <f>($J155-Data!$N155)*Data!L155</f>
        <v>0.25</v>
      </c>
      <c r="Z155" s="2">
        <f>($J155-Data!$N155)</f>
        <v>0.33333333333333331</v>
      </c>
      <c r="AA155" s="2">
        <f>($K155-Data!$O155)*Data!I155</f>
        <v>-0.37037037037037035</v>
      </c>
      <c r="AB155" s="2">
        <f>($K155-Data!$O155)*Data!J155</f>
        <v>-0.1388888888888889</v>
      </c>
      <c r="AC155" s="2">
        <f>($K155-Data!$O155)*Data!K155</f>
        <v>-0.45197740112994356</v>
      </c>
      <c r="AD155" s="2">
        <f>($K155-Data!$O155)*Data!L155</f>
        <v>-0.5</v>
      </c>
      <c r="AE155" s="2">
        <f>($K155-Data!$O155)</f>
        <v>-0.66666666666666674</v>
      </c>
    </row>
    <row r="156" spans="2:31" x14ac:dyDescent="0.25">
      <c r="B156" s="2">
        <f>B$2*Data!$I156+B$3*Data!$J156+B$4*Data!$K156+B$5*Data!$L156+B$6</f>
        <v>0.35313088512241053</v>
      </c>
      <c r="C156" s="2">
        <f>C$2*Data!$I156+C$3*Data!$J156+C$4*Data!$K156+C$5*Data!$L156+C$6</f>
        <v>0.35313088512241053</v>
      </c>
      <c r="D156" s="2">
        <f>D$2*Data!$I156+D$3*Data!$J156+D$4*Data!$K156+D$5*Data!$L156+D$6</f>
        <v>0.35313088512241053</v>
      </c>
      <c r="E156" s="2">
        <f>EXP(B156)</f>
        <v>1.4235174484965554</v>
      </c>
      <c r="F156" s="2">
        <f>EXP(C156)</f>
        <v>1.4235174484965554</v>
      </c>
      <c r="G156" s="2">
        <f>EXP(D156)</f>
        <v>1.4235174484965554</v>
      </c>
      <c r="H156" s="2">
        <f>SUM(E156:G156)</f>
        <v>4.2705523454896657</v>
      </c>
      <c r="I156" s="2">
        <f>E156/$H156</f>
        <v>0.33333333333333337</v>
      </c>
      <c r="J156" s="2">
        <f>F156/$H156</f>
        <v>0.33333333333333337</v>
      </c>
      <c r="K156" s="2">
        <f>G156/$H156</f>
        <v>0.33333333333333337</v>
      </c>
      <c r="L156" s="2">
        <f>-Data!M156*LOG(I156)</f>
        <v>0</v>
      </c>
      <c r="M156" s="2">
        <f>-Data!N156*LOG(J156)</f>
        <v>0</v>
      </c>
      <c r="N156" s="2">
        <f>-Data!O156*LOG(K156)</f>
        <v>0.47712125471966238</v>
      </c>
      <c r="O156" s="2">
        <f>SUM(L156:N156)</f>
        <v>0.47712125471966238</v>
      </c>
      <c r="P156" s="2"/>
      <c r="Q156" s="2">
        <f>(I156-Data!M156)*Data!I156</f>
        <v>0.20370370370370369</v>
      </c>
      <c r="R156" s="2">
        <f>($I156-Data!$M156)*Data!J156</f>
        <v>0.1388888888888889</v>
      </c>
      <c r="S156" s="2">
        <f>($I156-Data!$M156)*Data!K156</f>
        <v>0.23728813559322037</v>
      </c>
      <c r="T156" s="2">
        <f>($I156-Data!$M156)*Data!L156</f>
        <v>0.2638888888888889</v>
      </c>
      <c r="U156" s="2">
        <f>($I156-Data!$M156)</f>
        <v>0.33333333333333337</v>
      </c>
      <c r="V156" s="2">
        <f>($J156-Data!$N156)*Data!I156</f>
        <v>0.20370370370370369</v>
      </c>
      <c r="W156" s="2">
        <f>($J156-Data!$N156)*Data!J156</f>
        <v>0.1388888888888889</v>
      </c>
      <c r="X156" s="2">
        <f>($J156-Data!$N156)*Data!K156</f>
        <v>0.23728813559322037</v>
      </c>
      <c r="Y156" s="2">
        <f>($J156-Data!$N156)*Data!L156</f>
        <v>0.2638888888888889</v>
      </c>
      <c r="Z156" s="2">
        <f>($J156-Data!$N156)</f>
        <v>0.33333333333333337</v>
      </c>
      <c r="AA156" s="2">
        <f>($K156-Data!$O156)*Data!I156</f>
        <v>-0.40740740740740733</v>
      </c>
      <c r="AB156" s="2">
        <f>($K156-Data!$O156)*Data!J156</f>
        <v>-0.27777777777777773</v>
      </c>
      <c r="AC156" s="2">
        <f>($K156-Data!$O156)*Data!K156</f>
        <v>-0.47457627118644063</v>
      </c>
      <c r="AD156" s="2">
        <f>($K156-Data!$O156)*Data!L156</f>
        <v>-0.52777777777777768</v>
      </c>
      <c r="AE156" s="2">
        <f>($K156-Data!$O156)</f>
        <v>-0.66666666666666663</v>
      </c>
    </row>
    <row r="157" spans="2:31" x14ac:dyDescent="0.25">
      <c r="B157" s="2">
        <f>B$2*Data!$I157+B$3*Data!$J157+B$4*Data!$K157+B$5*Data!$L157+B$6</f>
        <v>0.37735404896421842</v>
      </c>
      <c r="C157" s="2">
        <f>C$2*Data!$I157+C$3*Data!$J157+C$4*Data!$K157+C$5*Data!$L157+C$6</f>
        <v>0.37735404896421842</v>
      </c>
      <c r="D157" s="2">
        <f>D$2*Data!$I157+D$3*Data!$J157+D$4*Data!$K157+D$5*Data!$L157+D$6</f>
        <v>0.37735404896421842</v>
      </c>
      <c r="E157" s="2">
        <f>EXP(B157)</f>
        <v>1.4584205702673134</v>
      </c>
      <c r="F157" s="2">
        <f>EXP(C157)</f>
        <v>1.4584205702673134</v>
      </c>
      <c r="G157" s="2">
        <f>EXP(D157)</f>
        <v>1.4584205702673134</v>
      </c>
      <c r="H157" s="2">
        <f>SUM(E157:G157)</f>
        <v>4.37526171080194</v>
      </c>
      <c r="I157" s="2">
        <f>E157/$H157</f>
        <v>0.33333333333333337</v>
      </c>
      <c r="J157" s="2">
        <f>F157/$H157</f>
        <v>0.33333333333333337</v>
      </c>
      <c r="K157" s="2">
        <f>G157/$H157</f>
        <v>0.33333333333333337</v>
      </c>
      <c r="L157" s="2">
        <f>-Data!M157*LOG(I157)</f>
        <v>0</v>
      </c>
      <c r="M157" s="2">
        <f>-Data!N157*LOG(J157)</f>
        <v>0</v>
      </c>
      <c r="N157" s="2">
        <f>-Data!O157*LOG(K157)</f>
        <v>0.47712125471966238</v>
      </c>
      <c r="O157" s="2">
        <f>SUM(L157:N157)</f>
        <v>0.47712125471966238</v>
      </c>
      <c r="P157" s="2"/>
      <c r="Q157" s="2">
        <f>(I157-Data!M157)*Data!I157</f>
        <v>0.17592592592592596</v>
      </c>
      <c r="R157" s="2">
        <f>($I157-Data!$M157)*Data!J157</f>
        <v>0.19444444444444445</v>
      </c>
      <c r="S157" s="2">
        <f>($I157-Data!$M157)*Data!K157</f>
        <v>0.24858757062146897</v>
      </c>
      <c r="T157" s="2">
        <f>($I157-Data!$M157)*Data!L157</f>
        <v>0.30555555555555558</v>
      </c>
      <c r="U157" s="2">
        <f>($I157-Data!$M157)</f>
        <v>0.33333333333333337</v>
      </c>
      <c r="V157" s="2">
        <f>($J157-Data!$N157)*Data!I157</f>
        <v>0.17592592592592596</v>
      </c>
      <c r="W157" s="2">
        <f>($J157-Data!$N157)*Data!J157</f>
        <v>0.19444444444444445</v>
      </c>
      <c r="X157" s="2">
        <f>($J157-Data!$N157)*Data!K157</f>
        <v>0.24858757062146897</v>
      </c>
      <c r="Y157" s="2">
        <f>($J157-Data!$N157)*Data!L157</f>
        <v>0.30555555555555558</v>
      </c>
      <c r="Z157" s="2">
        <f>($J157-Data!$N157)</f>
        <v>0.33333333333333337</v>
      </c>
      <c r="AA157" s="2">
        <f>($K157-Data!$O157)*Data!I157</f>
        <v>-0.35185185185185186</v>
      </c>
      <c r="AB157" s="2">
        <f>($K157-Data!$O157)*Data!J157</f>
        <v>-0.38888888888888884</v>
      </c>
      <c r="AC157" s="2">
        <f>($K157-Data!$O157)*Data!K157</f>
        <v>-0.49717514124293782</v>
      </c>
      <c r="AD157" s="2">
        <f>($K157-Data!$O157)*Data!L157</f>
        <v>-0.61111111111111105</v>
      </c>
      <c r="AE157" s="2">
        <f>($K157-Data!$O157)</f>
        <v>-0.66666666666666663</v>
      </c>
    </row>
    <row r="158" spans="2:31" x14ac:dyDescent="0.25">
      <c r="B158" s="2">
        <f>B$2*Data!$I158+B$3*Data!$J158+B$4*Data!$K158+B$5*Data!$L158+B$6</f>
        <v>0.32643596986817325</v>
      </c>
      <c r="C158" s="2">
        <f>C$2*Data!$I158+C$3*Data!$J158+C$4*Data!$K158+C$5*Data!$L158+C$6</f>
        <v>0.32643596986817325</v>
      </c>
      <c r="D158" s="2">
        <f>D$2*Data!$I158+D$3*Data!$J158+D$4*Data!$K158+D$5*Data!$L158+D$6</f>
        <v>0.32643596986817325</v>
      </c>
      <c r="E158" s="2">
        <f>EXP(B158)</f>
        <v>1.3860194999104127</v>
      </c>
      <c r="F158" s="2">
        <f>EXP(C158)</f>
        <v>1.3860194999104127</v>
      </c>
      <c r="G158" s="2">
        <f>EXP(D158)</f>
        <v>1.3860194999104127</v>
      </c>
      <c r="H158" s="2">
        <f>SUM(E158:G158)</f>
        <v>4.1580584997312382</v>
      </c>
      <c r="I158" s="2">
        <f>E158/$H158</f>
        <v>0.33333333333333331</v>
      </c>
      <c r="J158" s="2">
        <f>F158/$H158</f>
        <v>0.33333333333333331</v>
      </c>
      <c r="K158" s="2">
        <f>G158/$H158</f>
        <v>0.33333333333333331</v>
      </c>
      <c r="L158" s="2">
        <f>-Data!M158*LOG(I158)</f>
        <v>0</v>
      </c>
      <c r="M158" s="2">
        <f>-Data!N158*LOG(J158)</f>
        <v>0</v>
      </c>
      <c r="N158" s="2">
        <f>-Data!O158*LOG(K158)</f>
        <v>0.47712125471966244</v>
      </c>
      <c r="O158" s="2">
        <f>SUM(L158:N158)</f>
        <v>0.47712125471966244</v>
      </c>
      <c r="P158" s="2"/>
      <c r="Q158" s="2">
        <f>(I158-Data!M158)*Data!I158</f>
        <v>0.14814814814814817</v>
      </c>
      <c r="R158" s="2">
        <f>($I158-Data!$M158)*Data!J158</f>
        <v>0.13888888888888887</v>
      </c>
      <c r="S158" s="2">
        <f>($I158-Data!$M158)*Data!K158</f>
        <v>0.23163841807909602</v>
      </c>
      <c r="T158" s="2">
        <f>($I158-Data!$M158)*Data!L158</f>
        <v>0.2361111111111111</v>
      </c>
      <c r="U158" s="2">
        <f>($I158-Data!$M158)</f>
        <v>0.33333333333333331</v>
      </c>
      <c r="V158" s="2">
        <f>($J158-Data!$N158)*Data!I158</f>
        <v>0.14814814814814817</v>
      </c>
      <c r="W158" s="2">
        <f>($J158-Data!$N158)*Data!J158</f>
        <v>0.13888888888888887</v>
      </c>
      <c r="X158" s="2">
        <f>($J158-Data!$N158)*Data!K158</f>
        <v>0.23163841807909602</v>
      </c>
      <c r="Y158" s="2">
        <f>($J158-Data!$N158)*Data!L158</f>
        <v>0.2361111111111111</v>
      </c>
      <c r="Z158" s="2">
        <f>($J158-Data!$N158)</f>
        <v>0.33333333333333331</v>
      </c>
      <c r="AA158" s="2">
        <f>($K158-Data!$O158)*Data!I158</f>
        <v>-0.29629629629629639</v>
      </c>
      <c r="AB158" s="2">
        <f>($K158-Data!$O158)*Data!J158</f>
        <v>-0.27777777777777779</v>
      </c>
      <c r="AC158" s="2">
        <f>($K158-Data!$O158)*Data!K158</f>
        <v>-0.4632768361581921</v>
      </c>
      <c r="AD158" s="2">
        <f>($K158-Data!$O158)*Data!L158</f>
        <v>-0.47222222222222232</v>
      </c>
      <c r="AE158" s="2">
        <f>($K158-Data!$O158)</f>
        <v>-0.66666666666666674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ECC52-35FE-4CB5-AA02-EFFCA5E48E34}">
  <dimension ref="A1:AE158"/>
  <sheetViews>
    <sheetView tabSelected="1" workbookViewId="0">
      <selection activeCell="F4" sqref="F4"/>
    </sheetView>
    <sheetView workbookViewId="1"/>
  </sheetViews>
  <sheetFormatPr defaultRowHeight="15" x14ac:dyDescent="0.25"/>
  <cols>
    <col min="1" max="1" width="9.140625" style="4"/>
    <col min="2" max="31" width="9.140625" style="1"/>
  </cols>
  <sheetData>
    <row r="1" spans="1:31" x14ac:dyDescent="0.25">
      <c r="A1" s="4" cm="1">
        <f t="array" aca="1" ref="A1" ca="1">MID(CELL("filename",A1),FIND("]",CELL("filename",A1))+1,LEN(CELL("filename",A1))-FIND("]",CELL("filename",A1)))+0-1</f>
        <v>1</v>
      </c>
      <c r="B1" s="1" t="s">
        <v>27</v>
      </c>
      <c r="C1" s="1" t="s">
        <v>33</v>
      </c>
      <c r="D1" s="1" t="s">
        <v>34</v>
      </c>
    </row>
    <row r="2" spans="1:31" x14ac:dyDescent="0.25">
      <c r="A2" s="4" t="s">
        <v>28</v>
      </c>
      <c r="B2" s="2" cm="1">
        <f t="array" aca="1" ref="B2" ca="1">INDIRECT("'" &amp; $A$1 &amp; "'!B2") - Dashboard!$B$3 * INDIRECT("'" &amp; $A$1 &amp; "'!Q7")</f>
        <v>-1.6296296296296212E-2</v>
      </c>
      <c r="C2" s="2" cm="1">
        <f t="array" aca="1" ref="C2" ca="1">INDIRECT("'" &amp; (A1) &amp; "'!C2") - Dashboard!$B$3 * INDIRECT("'" &amp; (A1) &amp; "'!V7")</f>
        <v>0.11287037037037034</v>
      </c>
      <c r="D2" s="2" cm="1">
        <f t="array" aca="1" ref="D2" ca="1">INDIRECT("'" &amp; (A1) &amp; "'!D2") - Dashboard!$B$3 * INDIRECT("'" &amp; (A1) &amp; "'!AA7")</f>
        <v>0.20342592592592601</v>
      </c>
    </row>
    <row r="3" spans="1:31" x14ac:dyDescent="0.25">
      <c r="A3" s="4" t="s">
        <v>29</v>
      </c>
      <c r="B3" s="2" cm="1">
        <f t="array" aca="1" ref="B3" ca="1">INDIRECT("'" &amp; A1 &amp; "'!B3") - Dashboard!$B$3 * INDIRECT("'" &amp; A1 &amp; "'!R7")</f>
        <v>0.17583333333333323</v>
      </c>
      <c r="C3" s="2" cm="1">
        <f t="array" aca="1" ref="C3" ca="1">INDIRECT("'" &amp; (A1) &amp; "'!C3") - Dashboard!$B$3 * INDIRECT("'" &amp; (A1) &amp; "'!W7")</f>
        <v>4.0833333333333319E-2</v>
      </c>
      <c r="D3" s="2" cm="1">
        <f t="array" aca="1" ref="D3" ca="1">INDIRECT("'" &amp; (A1) &amp; "'!D3") - Dashboard!$B$3 * INDIRECT("'" &amp; (A1) &amp; "'!AB7")</f>
        <v>8.3333333333333384E-2</v>
      </c>
    </row>
    <row r="4" spans="1:31" x14ac:dyDescent="0.25">
      <c r="A4" s="4" t="s">
        <v>30</v>
      </c>
      <c r="B4" s="2" cm="1">
        <f t="array" aca="1" ref="B4" ca="1">INDIRECT("'" &amp; (A1) &amp; "'!B4") - Dashboard!$B$3 * INDIRECT("'" &amp; (A1) &amp; "'!S7")</f>
        <v>-9.4463276836158266E-2</v>
      </c>
      <c r="C4" s="2" cm="1">
        <f t="array" aca="1" ref="C4" ca="1">INDIRECT("'" &amp; (A1) &amp; "'!C4") - Dashboard!$B$3 * INDIRECT("'" &amp; (A1) &amp; "'!X7")</f>
        <v>0.14248587570621471</v>
      </c>
      <c r="D4" s="2" cm="1">
        <f t="array" aca="1" ref="D4" ca="1">INDIRECT("'" &amp; (A1) &amp; "'!D4") - Dashboard!$B$3 * INDIRECT("'" &amp; (A1) &amp; "'!AC7")</f>
        <v>0.25197740112994349</v>
      </c>
    </row>
    <row r="5" spans="1:31" x14ac:dyDescent="0.25">
      <c r="A5" s="4" t="s">
        <v>31</v>
      </c>
      <c r="B5" s="2" cm="1">
        <f t="array" aca="1" ref="B5" ca="1">INDIRECT("'" &amp; (A1) &amp; "'!B5") - Dashboard!$B$3 * INDIRECT("'" &amp; (A1) &amp; "'!T7")</f>
        <v>-9.8888888888888971E-2</v>
      </c>
      <c r="C5" s="2" cm="1">
        <f t="array" aca="1" ref="C5" ca="1">INDIRECT("'" &amp; (A1) &amp; "'!C5") - Dashboard!$B$3 * INDIRECT("'" &amp; (A1) &amp; "'!Y7")</f>
        <v>0.12652777777777779</v>
      </c>
      <c r="D5" s="2" cm="1">
        <f t="array" aca="1" ref="D5" ca="1">INDIRECT("'" &amp; (A1) &amp; "'!D5") - Dashboard!$B$3 * INDIRECT("'" &amp; (A1) &amp; "'!AD7")</f>
        <v>0.27236111111111105</v>
      </c>
    </row>
    <row r="6" spans="1:31" x14ac:dyDescent="0.25">
      <c r="A6" s="4" t="s">
        <v>32</v>
      </c>
      <c r="B6" s="2" cm="1">
        <f t="array" aca="1" ref="B6" ca="1">INDIRECT("'" &amp; (A1) &amp; "'!B6") - Dashboard!$B$3 * INDIRECT("'" &amp; (A1) &amp; "'!U7")</f>
        <v>0.10000000000000053</v>
      </c>
      <c r="C6" s="2" cm="1">
        <f t="array" aca="1" ref="C6" ca="1">INDIRECT("'" &amp; (A1) &amp; "'!C6") - Dashboard!$B$3 * INDIRECT("'" &amp; (A1) &amp; "'!Z7")</f>
        <v>9.9999999999999742E-2</v>
      </c>
      <c r="D6" s="2" cm="1">
        <f t="array" aca="1" ref="D6" ca="1">INDIRECT("'" &amp; (A1) &amp; "'!D6") - Dashboard!$B$3 * INDIRECT("'" &amp; (A1) &amp; "'!AE7")</f>
        <v>0.10000000000000062</v>
      </c>
    </row>
    <row r="7" spans="1:31" x14ac:dyDescent="0.25">
      <c r="P7" s="1" t="s">
        <v>61</v>
      </c>
      <c r="Q7" s="2">
        <f ca="1">SUM(Q9:Q158)</f>
        <v>-15.273455487104616</v>
      </c>
      <c r="R7" s="2">
        <f ca="1">SUM(R9:R158)</f>
        <v>-8.1528237311585379</v>
      </c>
      <c r="S7" s="2">
        <f ca="1">SUM(S9:S158)</f>
        <v>-2.7570671316661626</v>
      </c>
      <c r="T7" s="2">
        <f ca="1">SUM(T9:T158)</f>
        <v>-1.9027808413364931</v>
      </c>
      <c r="U7" s="2">
        <f ca="1">SUM(U9:U158)</f>
        <v>-7.3525409237606976E-5</v>
      </c>
      <c r="V7" s="2">
        <f ca="1">SUM(V9:V158)</f>
        <v>14.766298022275128</v>
      </c>
      <c r="W7" s="2">
        <f ca="1">SUM(W9:W158)</f>
        <v>12.799310409871008</v>
      </c>
      <c r="X7" s="2">
        <f ca="1">SUM(X9:X158)</f>
        <v>17.016271713010493</v>
      </c>
      <c r="Y7" s="2">
        <f ca="1">SUM(Y9:Y158)</f>
        <v>16.152361434732146</v>
      </c>
      <c r="Z7" s="2">
        <f ca="1">SUM(Z9:Z158)</f>
        <v>-9.9922330952317284E-3</v>
      </c>
      <c r="AA7" s="2">
        <f ca="1">SUM(AA9:AA158)</f>
        <v>-10.969985386999014</v>
      </c>
      <c r="AB7" s="2">
        <f ca="1">SUM(AB9:AB158)</f>
        <v>-4.646486678712499</v>
      </c>
      <c r="AC7" s="2">
        <f ca="1">SUM(AC9:AC158)</f>
        <v>-14.259204581344331</v>
      </c>
      <c r="AD7" s="2">
        <f ca="1">SUM(AD9:AD158)</f>
        <v>-14.249580593395642</v>
      </c>
      <c r="AE7" s="2">
        <f ca="1">SUM(AE9:AE158)</f>
        <v>1.0065758504386513E-2</v>
      </c>
    </row>
    <row r="8" spans="1:31" x14ac:dyDescent="0.25">
      <c r="B8" s="1" t="s">
        <v>27</v>
      </c>
      <c r="C8" s="1" t="s">
        <v>33</v>
      </c>
      <c r="D8" s="1" t="s">
        <v>34</v>
      </c>
      <c r="E8" s="1" t="s">
        <v>35</v>
      </c>
      <c r="F8" s="1" t="s">
        <v>36</v>
      </c>
      <c r="G8" s="1" t="s">
        <v>37</v>
      </c>
      <c r="H8" s="1" t="s">
        <v>38</v>
      </c>
      <c r="I8" s="1" t="s">
        <v>39</v>
      </c>
      <c r="J8" s="1" t="s">
        <v>40</v>
      </c>
      <c r="K8" s="1" t="s">
        <v>41</v>
      </c>
      <c r="L8" s="1" t="s">
        <v>42</v>
      </c>
      <c r="M8" s="1" t="s">
        <v>43</v>
      </c>
      <c r="N8" s="1" t="s">
        <v>44</v>
      </c>
      <c r="O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V8" s="1" t="s">
        <v>51</v>
      </c>
      <c r="W8" s="1" t="s">
        <v>52</v>
      </c>
      <c r="X8" s="1" t="s">
        <v>53</v>
      </c>
      <c r="Y8" s="1" t="s">
        <v>54</v>
      </c>
      <c r="Z8" s="1" t="s">
        <v>55</v>
      </c>
      <c r="AA8" s="1" t="s">
        <v>56</v>
      </c>
      <c r="AB8" s="1" t="s">
        <v>57</v>
      </c>
      <c r="AC8" s="1" t="s">
        <v>58</v>
      </c>
      <c r="AD8" s="1" t="s">
        <v>59</v>
      </c>
      <c r="AE8" s="1" t="s">
        <v>60</v>
      </c>
    </row>
    <row r="9" spans="1:31" x14ac:dyDescent="0.25">
      <c r="B9" s="2">
        <f ca="1">B$2*Data!$I9+B$3*Data!$J9+B$4*Data!$K9+B$5*Data!$L9+B$6</f>
        <v>0.19574977383101494</v>
      </c>
      <c r="C9" s="2">
        <f ca="1">C$2*Data!$I9+C$3*Data!$J9+C$4*Data!$K9+C$5*Data!$L9+C$6</f>
        <v>0.16553518797073563</v>
      </c>
      <c r="D9" s="2">
        <f ca="1">D$2*Data!$I9+D$3*Data!$J9+D$4*Data!$K9+D$5*Data!$L9+D$6</f>
        <v>0.22572068791576438</v>
      </c>
      <c r="E9" s="2">
        <f ca="1">EXP(B9)</f>
        <v>1.2162225365494328</v>
      </c>
      <c r="F9" s="2">
        <f ca="1">EXP(C9)</f>
        <v>1.1800244846559527</v>
      </c>
      <c r="G9" s="2">
        <f ca="1">EXP(D9)</f>
        <v>1.2532255753408221</v>
      </c>
      <c r="H9" s="2">
        <f ca="1">SUM(E9:G9)</f>
        <v>3.6494725965462078</v>
      </c>
      <c r="I9" s="2">
        <f ca="1">E9/H9</f>
        <v>0.3332598079241485</v>
      </c>
      <c r="J9" s="2">
        <f ca="1">F9/H9</f>
        <v>0.32334110023807427</v>
      </c>
      <c r="K9" s="2">
        <f ca="1">G9/H9</f>
        <v>0.34339909183777712</v>
      </c>
      <c r="L9" s="2">
        <f ca="1">-Data!$M9*LOG(I9)</f>
        <v>0.47721706032473638</v>
      </c>
      <c r="M9" s="2">
        <f ca="1">-Data!$N9*LOG(J9)</f>
        <v>0</v>
      </c>
      <c r="N9" s="2">
        <f ca="1">-Data!$O9*LOG(K9)</f>
        <v>0</v>
      </c>
      <c r="O9" s="2">
        <f ca="1">SUM(L9:N9)</f>
        <v>0.47721706032473638</v>
      </c>
      <c r="P9" s="2"/>
      <c r="Q9" s="2">
        <f ca="1">(I9-Data!$M9)*Data!$I9</f>
        <v>-0.14816448712796695</v>
      </c>
      <c r="R9" s="2">
        <f ca="1">(I9-Data!$M9)*Data!$J9</f>
        <v>-0.41671262004740717</v>
      </c>
      <c r="S9" s="2">
        <f ca="1">(I9-Data!$M9)*Data!$K9</f>
        <v>-4.5202724886498402E-2</v>
      </c>
      <c r="T9" s="2">
        <f ca="1">(I9-Data!$M9)*Data!$L9</f>
        <v>-2.7780841336493819E-2</v>
      </c>
      <c r="U9" s="2">
        <f ca="1">(I9-Data!$M9)</f>
        <v>-0.66674019207585156</v>
      </c>
      <c r="V9" s="2">
        <f ca="1">(J9-Data!$N9)*Data!$I9</f>
        <v>7.1853577830683135E-2</v>
      </c>
      <c r="W9" s="2">
        <f ca="1">(J9-Data!$N9)*Data!$J9</f>
        <v>0.20208818764879638</v>
      </c>
      <c r="X9" s="2">
        <f ca="1">(J9-Data!$N9)*Data!$K9</f>
        <v>2.1921430524615201E-2</v>
      </c>
      <c r="Y9" s="2">
        <f ca="1">(J9-Data!$N9)*Data!$L9</f>
        <v>1.3472545843253097E-2</v>
      </c>
      <c r="Z9" s="2">
        <f ca="1">(J9-Data!$N9)</f>
        <v>0.32334110023807427</v>
      </c>
      <c r="AA9" s="2">
        <f ca="1">(K9-Data!$O9)*Data!$I9</f>
        <v>7.6310909297283777E-2</v>
      </c>
      <c r="AB9" s="2">
        <f ca="1">(K9-Data!$O9)*Data!$J9</f>
        <v>0.21462443239861065</v>
      </c>
      <c r="AC9" s="2">
        <f ca="1">(K9-Data!$O9)*Data!$K9</f>
        <v>2.3281294361883191E-2</v>
      </c>
      <c r="AD9" s="2">
        <f ca="1">(K9-Data!$O9)*Data!$L9</f>
        <v>1.4308295493240714E-2</v>
      </c>
      <c r="AE9" s="2">
        <f ca="1">(K9-Data!$O9)</f>
        <v>0.34339909183777712</v>
      </c>
    </row>
    <row r="10" spans="1:31" x14ac:dyDescent="0.25">
      <c r="B10" s="2">
        <f ca="1">B$2*Data!$I10+B$3*Data!$J10+B$4*Data!$K10+B$5*Data!$L10+B$6</f>
        <v>0.16002317918080916</v>
      </c>
      <c r="C10" s="2">
        <f ca="1">C$2*Data!$I10+C$3*Data!$J10+C$4*Data!$K10+C$5*Data!$L10+C$6</f>
        <v>0.15075766739460397</v>
      </c>
      <c r="D10" s="2">
        <f ca="1">D$2*Data!$I10+D$3*Data!$J10+D$4*Data!$K10+D$5*Data!$L10+D$6</f>
        <v>0.19705813647543521</v>
      </c>
      <c r="E10" s="2">
        <f ca="1">EXP(B10)</f>
        <v>1.1735380723277216</v>
      </c>
      <c r="F10" s="2">
        <f ca="1">EXP(C10)</f>
        <v>1.1627148602173847</v>
      </c>
      <c r="G10" s="2">
        <f ca="1">EXP(D10)</f>
        <v>1.2178148381103531</v>
      </c>
      <c r="H10" s="2">
        <f ca="1">SUM(E10:G10)</f>
        <v>3.5540677706554593</v>
      </c>
      <c r="I10" s="2">
        <f ca="1">E10/'1'!$H10</f>
        <v>0.33026207583694384</v>
      </c>
      <c r="J10" s="2">
        <f ca="1">F10/H10</f>
        <v>0.32715044710668273</v>
      </c>
      <c r="K10" s="2">
        <f ca="1">G10/H10</f>
        <v>0.34265380310566151</v>
      </c>
      <c r="L10" s="2">
        <f ca="1">-Data!$M10*LOG(I10)</f>
        <v>0.48114129370293574</v>
      </c>
      <c r="M10" s="2">
        <f ca="1">-Data!$N10*LOG(J10)</f>
        <v>0</v>
      </c>
      <c r="N10" s="2">
        <f ca="1">-Data!$O10*LOG(K10)</f>
        <v>0</v>
      </c>
      <c r="O10" s="2">
        <f ca="1">SUM(L10:N10)</f>
        <v>0.48114129370293574</v>
      </c>
      <c r="P10" s="2"/>
      <c r="Q10" s="2">
        <f ca="1">(I10-'1'!Z10)*'1'!V10</f>
        <v>-1.7062541646608228E-4</v>
      </c>
      <c r="R10" s="2">
        <f>('1'!$I10-Data!$M10)*'1'!W10</f>
        <v>-9.2592592592592587E-2</v>
      </c>
      <c r="S10" s="2">
        <f>('1'!$I10-Data!$M10)*'1'!X10</f>
        <v>-1.5065913370998114E-2</v>
      </c>
      <c r="T10" s="2">
        <f>('1'!$I10-Data!$M10)*'1'!Y10</f>
        <v>-9.2592592592592605E-3</v>
      </c>
      <c r="U10" s="2">
        <f>('1'!$I10-Data!$M10)</f>
        <v>-0.66666666666666674</v>
      </c>
      <c r="V10" s="2">
        <f>('1'!$J10-Data!$N10)*'1'!V10</f>
        <v>1.8518518518518531E-2</v>
      </c>
      <c r="W10" s="2">
        <f>('1'!$J10-Data!$N10)*'1'!W10</f>
        <v>4.6296296296296287E-2</v>
      </c>
      <c r="X10" s="2">
        <f>('1'!$J10-Data!$N10)*'1'!X10</f>
        <v>7.5329566854990555E-3</v>
      </c>
      <c r="Y10" s="2">
        <f>('1'!$J10-Data!$N10)*'1'!Y10</f>
        <v>4.6296296296296294E-3</v>
      </c>
      <c r="Z10" s="2">
        <f>('1'!$J10-Data!$N10)</f>
        <v>0.33333333333333331</v>
      </c>
      <c r="AA10" s="2">
        <f>('1'!$K10-Data!$O10)*'1'!V10</f>
        <v>1.8518518518518531E-2</v>
      </c>
      <c r="AB10" s="2">
        <f>('1'!$K10-Data!$O10)*'1'!W10</f>
        <v>4.6296296296296287E-2</v>
      </c>
      <c r="AC10" s="2">
        <f>('1'!$K10-Data!$O10)*'1'!X10</f>
        <v>7.5329566854990555E-3</v>
      </c>
      <c r="AD10" s="2">
        <f>('1'!$K10-Data!$O10)*'1'!Y10</f>
        <v>4.6296296296296294E-3</v>
      </c>
      <c r="AE10" s="2">
        <f>('1'!$K10-Data!$O10)</f>
        <v>0.33333333333333331</v>
      </c>
    </row>
    <row r="11" spans="1:31" x14ac:dyDescent="0.25">
      <c r="B11" s="2">
        <f ca="1">B$2*Data!$I11+B$3*Data!$J11+B$4*Data!$K11+B$5*Data!$L11+B$6</f>
        <v>0.1771823792415741</v>
      </c>
      <c r="C11" s="2">
        <f ca="1">C$2*Data!$I11+C$3*Data!$J11+C$4*Data!$K11+C$5*Data!$L11+C$6</f>
        <v>0.14547485419821629</v>
      </c>
      <c r="D11" s="2">
        <f ca="1">D$2*Data!$I11+D$3*Data!$J11+D$4*Data!$K11+D$5*Data!$L11+D$6</f>
        <v>0.18843033718167945</v>
      </c>
      <c r="E11" s="2">
        <f ca="1">EXP(B11)</f>
        <v>1.1938488065132202</v>
      </c>
      <c r="F11" s="2">
        <f ca="1">EXP(C11)</f>
        <v>1.156588650867564</v>
      </c>
      <c r="G11" s="2">
        <f ca="1">EXP(D11)</f>
        <v>1.2073529724461922</v>
      </c>
      <c r="H11" s="2">
        <f ca="1">SUM(E11:G11)</f>
        <v>3.5577904298269765</v>
      </c>
      <c r="I11" s="2">
        <f ca="1">E11/'1'!$H11</f>
        <v>0.33561438795765747</v>
      </c>
      <c r="J11" s="2">
        <f ca="1">F11/H11</f>
        <v>0.32508622238432733</v>
      </c>
      <c r="K11" s="2">
        <f ca="1">G11/H11</f>
        <v>0.33935471924491872</v>
      </c>
      <c r="L11" s="2">
        <f ca="1">-Data!$M11*LOG(I11)</f>
        <v>0.47415942902130503</v>
      </c>
      <c r="M11" s="2">
        <f ca="1">-Data!$N11*LOG(J11)</f>
        <v>0</v>
      </c>
      <c r="N11" s="2">
        <f ca="1">-Data!$O11*LOG(K11)</f>
        <v>0</v>
      </c>
      <c r="O11" s="2">
        <f ca="1">SUM(L11:N11)</f>
        <v>0.47415942902130503</v>
      </c>
      <c r="P11" s="2"/>
      <c r="Q11" s="2">
        <f ca="1">(I11-'1'!Z11)*'1'!V11</f>
        <v>8.4483504604598297E-5</v>
      </c>
      <c r="R11" s="2">
        <f>('1'!$I11-Data!$M11)*'1'!W11</f>
        <v>-0.11111111111111112</v>
      </c>
      <c r="S11" s="2">
        <f>('1'!$I11-Data!$M11)*'1'!X11</f>
        <v>-1.1299435028248589E-2</v>
      </c>
      <c r="T11" s="2">
        <f>('1'!$I11-Data!$M11)*'1'!Y11</f>
        <v>-9.2592592592592605E-3</v>
      </c>
      <c r="U11" s="2">
        <f>('1'!$I11-Data!$M11)</f>
        <v>-0.66666666666666674</v>
      </c>
      <c r="V11" s="2">
        <f>('1'!$J11-Data!$N11)*'1'!V11</f>
        <v>1.2345679012345687E-2</v>
      </c>
      <c r="W11" s="2">
        <f>('1'!$J11-Data!$N11)*'1'!W11</f>
        <v>5.5555555555555552E-2</v>
      </c>
      <c r="X11" s="2">
        <f>('1'!$J11-Data!$N11)*'1'!X11</f>
        <v>5.6497175141242938E-3</v>
      </c>
      <c r="Y11" s="2">
        <f>('1'!$J11-Data!$N11)*'1'!Y11</f>
        <v>4.6296296296296294E-3</v>
      </c>
      <c r="Z11" s="2">
        <f>('1'!$J11-Data!$N11)</f>
        <v>0.33333333333333331</v>
      </c>
      <c r="AA11" s="2">
        <f>('1'!$K11-Data!$O11)*'1'!V11</f>
        <v>1.2345679012345687E-2</v>
      </c>
      <c r="AB11" s="2">
        <f>('1'!$K11-Data!$O11)*'1'!W11</f>
        <v>5.5555555555555552E-2</v>
      </c>
      <c r="AC11" s="2">
        <f>('1'!$K11-Data!$O11)*'1'!X11</f>
        <v>5.6497175141242938E-3</v>
      </c>
      <c r="AD11" s="2">
        <f>('1'!$K11-Data!$O11)*'1'!Y11</f>
        <v>4.6296296296296294E-3</v>
      </c>
      <c r="AE11" s="2">
        <f>('1'!$K11-Data!$O11)</f>
        <v>0.33333333333333331</v>
      </c>
    </row>
    <row r="12" spans="1:31" x14ac:dyDescent="0.25">
      <c r="B12" s="2">
        <f ca="1">B$2*Data!$I12+B$3*Data!$J12+B$4*Data!$K12+B$5*Data!$L12+B$6</f>
        <v>0.16710652027230766</v>
      </c>
      <c r="C12" s="2">
        <f ca="1">C$2*Data!$I12+C$3*Data!$J12+C$4*Data!$K12+C$5*Data!$L12+C$6</f>
        <v>0.1454682069284402</v>
      </c>
      <c r="D12" s="2">
        <f ca="1">D$2*Data!$I12+D$3*Data!$J12+D$4*Data!$K12+D$5*Data!$L12+D$6</f>
        <v>0.18784900161281232</v>
      </c>
      <c r="E12" s="2">
        <f ca="1">EXP(B12)</f>
        <v>1.1818801527991687</v>
      </c>
      <c r="F12" s="2">
        <f ca="1">EXP(C12)</f>
        <v>1.1565809627363342</v>
      </c>
      <c r="G12" s="2">
        <f ca="1">EXP(D12)</f>
        <v>1.2066512991927025</v>
      </c>
      <c r="H12" s="2">
        <f ca="1">SUM(E12:G12)</f>
        <v>3.5451124147282052</v>
      </c>
      <c r="I12" s="2">
        <f ca="1">E12/'1'!$H12</f>
        <v>0.33343288508546376</v>
      </c>
      <c r="J12" s="2">
        <f ca="1">F12/H12</f>
        <v>0.32624662561652684</v>
      </c>
      <c r="K12" s="2">
        <f ca="1">G12/H12</f>
        <v>0.34037039112769951</v>
      </c>
      <c r="L12" s="2">
        <f ca="1">-Data!$M12*LOG(I12)</f>
        <v>0.47699156975440477</v>
      </c>
      <c r="M12" s="2">
        <f ca="1">-Data!$N12*LOG(J12)</f>
        <v>0</v>
      </c>
      <c r="N12" s="2">
        <f ca="1">-Data!$O12*LOG(K12)</f>
        <v>0</v>
      </c>
      <c r="O12" s="2">
        <f ca="1">SUM(L12:N12)</f>
        <v>0.47699156975440477</v>
      </c>
      <c r="P12" s="2"/>
      <c r="Q12" s="2">
        <f ca="1">(I12-'1'!Z12)*'1'!V12</f>
        <v>2.7653264480679018E-6</v>
      </c>
      <c r="R12" s="2">
        <f>('1'!$I12-Data!$M12)*'1'!W12</f>
        <v>-0.10185185185185185</v>
      </c>
      <c r="S12" s="2">
        <f>('1'!$I12-Data!$M12)*'1'!X12</f>
        <v>-1.8832391713747645E-2</v>
      </c>
      <c r="T12" s="2">
        <f>('1'!$I12-Data!$M12)*'1'!Y12</f>
        <v>-9.2592592592592605E-3</v>
      </c>
      <c r="U12" s="2">
        <f>('1'!$I12-Data!$M12)</f>
        <v>-0.66666666666666674</v>
      </c>
      <c r="V12" s="2">
        <f>('1'!$J12-Data!$N12)*'1'!V12</f>
        <v>9.2592592592592518E-3</v>
      </c>
      <c r="W12" s="2">
        <f>('1'!$J12-Data!$N12)*'1'!W12</f>
        <v>5.0925925925925916E-2</v>
      </c>
      <c r="X12" s="2">
        <f>('1'!$J12-Data!$N12)*'1'!X12</f>
        <v>9.4161958568738206E-3</v>
      </c>
      <c r="Y12" s="2">
        <f>('1'!$J12-Data!$N12)*'1'!Y12</f>
        <v>4.6296296296296294E-3</v>
      </c>
      <c r="Z12" s="2">
        <f>('1'!$J12-Data!$N12)</f>
        <v>0.33333333333333331</v>
      </c>
      <c r="AA12" s="2">
        <f>('1'!$K12-Data!$O12)*'1'!V12</f>
        <v>9.2592592592592518E-3</v>
      </c>
      <c r="AB12" s="2">
        <f>('1'!$K12-Data!$O12)*'1'!W12</f>
        <v>5.0925925925925916E-2</v>
      </c>
      <c r="AC12" s="2">
        <f>('1'!$K12-Data!$O12)*'1'!X12</f>
        <v>9.4161958568738206E-3</v>
      </c>
      <c r="AD12" s="2">
        <f>('1'!$K12-Data!$O12)*'1'!Y12</f>
        <v>4.6296296296296294E-3</v>
      </c>
      <c r="AE12" s="2">
        <f>('1'!$K12-Data!$O12)</f>
        <v>0.33333333333333331</v>
      </c>
    </row>
    <row r="13" spans="1:31" x14ac:dyDescent="0.25">
      <c r="B13" s="2">
        <f ca="1">B$2*Data!$I13+B$3*Data!$J13+B$4*Data!$K13+B$5*Data!$L13+B$6</f>
        <v>0.20352883761702317</v>
      </c>
      <c r="C13" s="2">
        <f ca="1">C$2*Data!$I13+C$3*Data!$J13+C$4*Data!$K13+C$5*Data!$L13+C$6</f>
        <v>0.16410128879378089</v>
      </c>
      <c r="D13" s="2">
        <f ca="1">D$2*Data!$I13+D$3*Data!$J13+D$4*Data!$K13+D$5*Data!$L13+D$6</f>
        <v>0.2235421899733776</v>
      </c>
      <c r="E13" s="2">
        <f ca="1">EXP(B13)</f>
        <v>1.2257205039900239</v>
      </c>
      <c r="F13" s="2">
        <f ca="1">EXP(C13)</f>
        <v>1.178333661043615</v>
      </c>
      <c r="G13" s="2">
        <f ca="1">EXP(D13)</f>
        <v>1.2504983976576467</v>
      </c>
      <c r="H13" s="2">
        <f ca="1">SUM(E13:G13)</f>
        <v>3.6545525626912854</v>
      </c>
      <c r="I13" s="2">
        <f ca="1">E13/'1'!$H13</f>
        <v>0.33549746118870494</v>
      </c>
      <c r="J13" s="2">
        <f ca="1">F13/H13</f>
        <v>0.32242898161406292</v>
      </c>
      <c r="K13" s="2">
        <f ca="1">G13/H13</f>
        <v>0.3421755129270202</v>
      </c>
      <c r="L13" s="2">
        <f ca="1">-Data!$M13*LOG(I13)</f>
        <v>0.47431076192094396</v>
      </c>
      <c r="M13" s="2">
        <f ca="1">-Data!$N13*LOG(J13)</f>
        <v>0</v>
      </c>
      <c r="N13" s="2">
        <f ca="1">-Data!$O13*LOG(K13)</f>
        <v>0</v>
      </c>
      <c r="O13" s="2">
        <f ca="1">SUM(L13:N13)</f>
        <v>0.47431076192094396</v>
      </c>
      <c r="P13" s="2"/>
      <c r="Q13" s="2">
        <f ca="1">(I13-'1'!Z13)*'1'!V13</f>
        <v>1.4026754618149051E-4</v>
      </c>
      <c r="R13" s="2">
        <f>('1'!$I13-Data!$M13)*'1'!W13</f>
        <v>-0.14814814814814814</v>
      </c>
      <c r="S13" s="2">
        <f>('1'!$I13-Data!$M13)*'1'!X13</f>
        <v>-1.5065913370998114E-2</v>
      </c>
      <c r="T13" s="2">
        <f>('1'!$I13-Data!$M13)*'1'!Y13</f>
        <v>-9.2592592592592605E-3</v>
      </c>
      <c r="U13" s="2">
        <f>('1'!$I13-Data!$M13)</f>
        <v>-0.66666666666666663</v>
      </c>
      <c r="V13" s="2">
        <f>('1'!$J13-Data!$N13)*'1'!V13</f>
        <v>2.1604938271604947E-2</v>
      </c>
      <c r="W13" s="2">
        <f>('1'!$J13-Data!$N13)*'1'!W13</f>
        <v>7.4074074074074084E-2</v>
      </c>
      <c r="X13" s="2">
        <f>('1'!$J13-Data!$N13)*'1'!X13</f>
        <v>7.5329566854990581E-3</v>
      </c>
      <c r="Y13" s="2">
        <f>('1'!$J13-Data!$N13)*'1'!Y13</f>
        <v>4.6296296296296311E-3</v>
      </c>
      <c r="Z13" s="2">
        <f>('1'!$J13-Data!$N13)</f>
        <v>0.33333333333333337</v>
      </c>
      <c r="AA13" s="2">
        <f>('1'!$K13-Data!$O13)*'1'!V13</f>
        <v>2.1604938271604947E-2</v>
      </c>
      <c r="AB13" s="2">
        <f>('1'!$K13-Data!$O13)*'1'!W13</f>
        <v>7.4074074074074084E-2</v>
      </c>
      <c r="AC13" s="2">
        <f>('1'!$K13-Data!$O13)*'1'!X13</f>
        <v>7.5329566854990581E-3</v>
      </c>
      <c r="AD13" s="2">
        <f>('1'!$K13-Data!$O13)*'1'!Y13</f>
        <v>4.6296296296296311E-3</v>
      </c>
      <c r="AE13" s="2">
        <f>('1'!$K13-Data!$O13)</f>
        <v>0.33333333333333337</v>
      </c>
    </row>
    <row r="14" spans="1:31" x14ac:dyDescent="0.25">
      <c r="B14" s="2">
        <f ca="1">B$2*Data!$I14+B$3*Data!$J14+B$4*Data!$K14+B$5*Data!$L14+B$6</f>
        <v>0.21065334648822631</v>
      </c>
      <c r="C14" s="2">
        <f ca="1">C$2*Data!$I14+C$3*Data!$J14+C$4*Data!$K14+C$5*Data!$L14+C$6</f>
        <v>0.19953563373273819</v>
      </c>
      <c r="D14" s="2">
        <f ca="1">D$2*Data!$I14+D$3*Data!$J14+D$4*Data!$K14+D$5*Data!$L14+D$6</f>
        <v>0.29207090678468606</v>
      </c>
      <c r="E14" s="2">
        <f ca="1">EXP(B14)</f>
        <v>1.2344843425470864</v>
      </c>
      <c r="F14" s="2">
        <f ca="1">EXP(C14)</f>
        <v>1.2208357115893791</v>
      </c>
      <c r="G14" s="2">
        <f ca="1">EXP(D14)</f>
        <v>1.33919797249507</v>
      </c>
      <c r="H14" s="2">
        <f ca="1">SUM(E14:G14)</f>
        <v>3.7945180266315353</v>
      </c>
      <c r="I14" s="2">
        <f ca="1">E14/'1'!$H14</f>
        <v>0.32561304824904225</v>
      </c>
      <c r="J14" s="2">
        <f ca="1">F14/H14</f>
        <v>0.3217367009514876</v>
      </c>
      <c r="K14" s="2">
        <f ca="1">G14/H14</f>
        <v>0.35292966408276655</v>
      </c>
      <c r="L14" s="2">
        <f ca="1">-Data!$M14*LOG(I14)</f>
        <v>0.4872982000082236</v>
      </c>
      <c r="M14" s="2">
        <f ca="1">-Data!$N14*LOG(J14)</f>
        <v>0</v>
      </c>
      <c r="N14" s="2">
        <f ca="1">-Data!$O14*LOG(K14)</f>
        <v>0</v>
      </c>
      <c r="O14" s="2">
        <f ca="1">SUM(L14:N14)</f>
        <v>0.4872982000082236</v>
      </c>
      <c r="P14" s="2"/>
      <c r="Q14" s="2">
        <f ca="1">(I14-'1'!Z14)*'1'!V14</f>
        <v>-7.863253326592756E-4</v>
      </c>
      <c r="R14" s="2">
        <f>('1'!$I14-Data!$M14)*'1'!W14</f>
        <v>-0.1759259259259259</v>
      </c>
      <c r="S14" s="2">
        <f>('1'!$I14-Data!$M14)*'1'!X14</f>
        <v>-2.6365348399246705E-2</v>
      </c>
      <c r="T14" s="2">
        <f>('1'!$I14-Data!$M14)*'1'!Y14</f>
        <v>-2.7777777777777783E-2</v>
      </c>
      <c r="U14" s="2">
        <f>('1'!$I14-Data!$M14)</f>
        <v>-0.66666666666666674</v>
      </c>
      <c r="V14" s="2">
        <f>('1'!$J14-Data!$N14)*'1'!V14</f>
        <v>3.3950617283950622E-2</v>
      </c>
      <c r="W14" s="2">
        <f>('1'!$J14-Data!$N14)*'1'!W14</f>
        <v>8.7962962962962937E-2</v>
      </c>
      <c r="X14" s="2">
        <f>('1'!$J14-Data!$N14)*'1'!X14</f>
        <v>1.3182674199623351E-2</v>
      </c>
      <c r="Y14" s="2">
        <f>('1'!$J14-Data!$N14)*'1'!Y14</f>
        <v>1.388888888888889E-2</v>
      </c>
      <c r="Z14" s="2">
        <f>('1'!$J14-Data!$N14)</f>
        <v>0.33333333333333331</v>
      </c>
      <c r="AA14" s="2">
        <f>('1'!$K14-Data!$O14)*'1'!V14</f>
        <v>3.3950617283950622E-2</v>
      </c>
      <c r="AB14" s="2">
        <f>('1'!$K14-Data!$O14)*'1'!W14</f>
        <v>8.7962962962962937E-2</v>
      </c>
      <c r="AC14" s="2">
        <f>('1'!$K14-Data!$O14)*'1'!X14</f>
        <v>1.3182674199623351E-2</v>
      </c>
      <c r="AD14" s="2">
        <f>('1'!$K14-Data!$O14)*'1'!Y14</f>
        <v>1.388888888888889E-2</v>
      </c>
      <c r="AE14" s="2">
        <f>('1'!$K14-Data!$O14)</f>
        <v>0.33333333333333331</v>
      </c>
    </row>
    <row r="15" spans="1:31" x14ac:dyDescent="0.25">
      <c r="B15" s="2">
        <f ca="1">B$2*Data!$I15+B$3*Data!$J15+B$4*Data!$K15+B$5*Data!$L15+B$6</f>
        <v>0.18656638905735237</v>
      </c>
      <c r="C15" s="2">
        <f ca="1">C$2*Data!$I15+C$3*Data!$J15+C$4*Data!$K15+C$5*Data!$L15+C$6</f>
        <v>0.15342934949336937</v>
      </c>
      <c r="D15" s="2">
        <f ca="1">D$2*Data!$I15+D$3*Data!$J15+D$4*Data!$K15+D$5*Data!$L15+D$6</f>
        <v>0.20534324450012653</v>
      </c>
      <c r="E15" s="2">
        <f ca="1">EXP(B15)</f>
        <v>1.205104625190079</v>
      </c>
      <c r="F15" s="2">
        <f ca="1">EXP(C15)</f>
        <v>1.1658254180560099</v>
      </c>
      <c r="G15" s="2">
        <f ca="1">EXP(D15)</f>
        <v>1.2279464785102974</v>
      </c>
      <c r="H15" s="2">
        <f ca="1">SUM(E15:G15)</f>
        <v>3.5988765217563863</v>
      </c>
      <c r="I15" s="2">
        <f ca="1">E15/'1'!$H15</f>
        <v>0.33493273424149828</v>
      </c>
      <c r="J15" s="2">
        <f ca="1">F15/H15</f>
        <v>0.32394148868632022</v>
      </c>
      <c r="K15" s="2">
        <f ca="1">G15/H15</f>
        <v>0.34120272565256382</v>
      </c>
      <c r="L15" s="2">
        <f ca="1">-Data!$M15*LOG(I15)</f>
        <v>0.47504240514534374</v>
      </c>
      <c r="M15" s="2">
        <f ca="1">-Data!$N15*LOG(J15)</f>
        <v>0</v>
      </c>
      <c r="N15" s="2">
        <f ca="1">-Data!$O15*LOG(K15)</f>
        <v>0</v>
      </c>
      <c r="O15" s="2">
        <f ca="1">SUM(L15:N15)</f>
        <v>0.47504240514534374</v>
      </c>
      <c r="P15" s="2"/>
      <c r="Q15" s="2">
        <f ca="1">(I15-'1'!Z15)*'1'!V15</f>
        <v>4.4427803004582208E-5</v>
      </c>
      <c r="R15" s="2">
        <f>('1'!$I15-Data!$M15)*'1'!W15</f>
        <v>-0.12962962962962962</v>
      </c>
      <c r="S15" s="2">
        <f>('1'!$I15-Data!$M15)*'1'!X15</f>
        <v>-1.5065913370998114E-2</v>
      </c>
      <c r="T15" s="2">
        <f>('1'!$I15-Data!$M15)*'1'!Y15</f>
        <v>-1.8518518518518521E-2</v>
      </c>
      <c r="U15" s="2">
        <f>('1'!$I15-Data!$M15)</f>
        <v>-0.66666666666666674</v>
      </c>
      <c r="V15" s="2">
        <f>('1'!$J15-Data!$N15)*'1'!V15</f>
        <v>9.2592592592592518E-3</v>
      </c>
      <c r="W15" s="2">
        <f>('1'!$J15-Data!$N15)*'1'!W15</f>
        <v>6.4814814814814797E-2</v>
      </c>
      <c r="X15" s="2">
        <f>('1'!$J15-Data!$N15)*'1'!X15</f>
        <v>7.5329566854990555E-3</v>
      </c>
      <c r="Y15" s="2">
        <f>('1'!$J15-Data!$N15)*'1'!Y15</f>
        <v>9.2592592592592587E-3</v>
      </c>
      <c r="Z15" s="2">
        <f>('1'!$J15-Data!$N15)</f>
        <v>0.33333333333333331</v>
      </c>
      <c r="AA15" s="2">
        <f>('1'!$K15-Data!$O15)*'1'!V15</f>
        <v>9.2592592592592518E-3</v>
      </c>
      <c r="AB15" s="2">
        <f>('1'!$K15-Data!$O15)*'1'!W15</f>
        <v>6.4814814814814797E-2</v>
      </c>
      <c r="AC15" s="2">
        <f>('1'!$K15-Data!$O15)*'1'!X15</f>
        <v>7.5329566854990555E-3</v>
      </c>
      <c r="AD15" s="2">
        <f>('1'!$K15-Data!$O15)*'1'!Y15</f>
        <v>9.2592592592592587E-3</v>
      </c>
      <c r="AE15" s="2">
        <f>('1'!$K15-Data!$O15)</f>
        <v>0.33333333333333331</v>
      </c>
    </row>
    <row r="16" spans="1:31" x14ac:dyDescent="0.25">
      <c r="B16" s="2">
        <f ca="1">B$2*Data!$I16+B$3*Data!$J16+B$4*Data!$K16+B$5*Data!$L16+B$6</f>
        <v>0.18727498735049691</v>
      </c>
      <c r="C16" s="2">
        <f ca="1">C$2*Data!$I16+C$3*Data!$J16+C$4*Data!$K16+C$5*Data!$L16+C$6</f>
        <v>0.16311352585848132</v>
      </c>
      <c r="D16" s="2">
        <f ca="1">D$2*Data!$I16+D$3*Data!$J16+D$4*Data!$K16+D$5*Data!$L16+D$6</f>
        <v>0.22086854893791524</v>
      </c>
      <c r="E16" s="2">
        <f ca="1">EXP(B16)</f>
        <v>1.2059588628904938</v>
      </c>
      <c r="F16" s="2">
        <f ca="1">EXP(C16)</f>
        <v>1.1771703213743103</v>
      </c>
      <c r="G16" s="2">
        <f ca="1">EXP(D16)</f>
        <v>1.2471594793503706</v>
      </c>
      <c r="H16" s="2">
        <f ca="1">SUM(E16:G16)</f>
        <v>3.6302886636151745</v>
      </c>
      <c r="I16" s="2">
        <f ca="1">E16/'1'!$H16</f>
        <v>0.33228696797735624</v>
      </c>
      <c r="J16" s="2">
        <f ca="1">F16/H16</f>
        <v>0.32426355875569435</v>
      </c>
      <c r="K16" s="2">
        <f ca="1">G16/H16</f>
        <v>0.34354278541266287</v>
      </c>
      <c r="L16" s="2">
        <f ca="1">-Data!$M16*LOG(I16)</f>
        <v>0.47848669106105984</v>
      </c>
      <c r="M16" s="2">
        <f ca="1">-Data!$N16*LOG(J16)</f>
        <v>0</v>
      </c>
      <c r="N16" s="2">
        <f ca="1">-Data!$O16*LOG(K16)</f>
        <v>0</v>
      </c>
      <c r="O16" s="2">
        <f ca="1">SUM(L16:N16)</f>
        <v>0.47848669106105984</v>
      </c>
      <c r="P16" s="2"/>
      <c r="Q16" s="2">
        <f ca="1">(I16-'1'!Z16)*'1'!V16</f>
        <v>-6.7819976776291885E-5</v>
      </c>
      <c r="R16" s="2">
        <f>('1'!$I16-Data!$M16)*'1'!W16</f>
        <v>-0.12962962962962962</v>
      </c>
      <c r="S16" s="2">
        <f>('1'!$I16-Data!$M16)*'1'!X16</f>
        <v>-1.8832391713747645E-2</v>
      </c>
      <c r="T16" s="2">
        <f>('1'!$I16-Data!$M16)*'1'!Y16</f>
        <v>-9.2592592592592605E-3</v>
      </c>
      <c r="U16" s="2">
        <f>('1'!$I16-Data!$M16)</f>
        <v>-0.66666666666666674</v>
      </c>
      <c r="V16" s="2">
        <f>('1'!$J16-Data!$N16)*'1'!V16</f>
        <v>2.1604938271604941E-2</v>
      </c>
      <c r="W16" s="2">
        <f>('1'!$J16-Data!$N16)*'1'!W16</f>
        <v>6.4814814814814797E-2</v>
      </c>
      <c r="X16" s="2">
        <f>('1'!$J16-Data!$N16)*'1'!X16</f>
        <v>9.4161958568738206E-3</v>
      </c>
      <c r="Y16" s="2">
        <f>('1'!$J16-Data!$N16)*'1'!Y16</f>
        <v>4.6296296296296294E-3</v>
      </c>
      <c r="Z16" s="2">
        <f>('1'!$J16-Data!$N16)</f>
        <v>0.33333333333333331</v>
      </c>
      <c r="AA16" s="2">
        <f>('1'!$K16-Data!$O16)*'1'!V16</f>
        <v>2.1604938271604941E-2</v>
      </c>
      <c r="AB16" s="2">
        <f>('1'!$K16-Data!$O16)*'1'!W16</f>
        <v>6.4814814814814797E-2</v>
      </c>
      <c r="AC16" s="2">
        <f>('1'!$K16-Data!$O16)*'1'!X16</f>
        <v>9.4161958568738206E-3</v>
      </c>
      <c r="AD16" s="2">
        <f>('1'!$K16-Data!$O16)*'1'!Y16</f>
        <v>4.6296296296296294E-3</v>
      </c>
      <c r="AE16" s="2">
        <f>('1'!$K16-Data!$O16)</f>
        <v>0.33333333333333331</v>
      </c>
    </row>
    <row r="17" spans="2:31" x14ac:dyDescent="0.25">
      <c r="B17" s="2">
        <f ca="1">B$2*Data!$I17+B$3*Data!$J17+B$4*Data!$K17+B$5*Data!$L17+B$6</f>
        <v>0.15496016477751698</v>
      </c>
      <c r="C17" s="2">
        <f ca="1">C$2*Data!$I17+C$3*Data!$J17+C$4*Data!$K17+C$5*Data!$L17+C$6</f>
        <v>0.13337983817649696</v>
      </c>
      <c r="D17" s="2">
        <f ca="1">D$2*Data!$I17+D$3*Data!$J17+D$4*Data!$K17+D$5*Data!$L17+D$6</f>
        <v>0.16533231343016769</v>
      </c>
      <c r="E17" s="2">
        <f ca="1">EXP(B17)</f>
        <v>1.1676114481168942</v>
      </c>
      <c r="F17" s="2">
        <f ca="1">EXP(C17)</f>
        <v>1.1426839508980224</v>
      </c>
      <c r="G17" s="2">
        <f ca="1">EXP(D17)</f>
        <v>1.1797851120128977</v>
      </c>
      <c r="H17" s="2">
        <f ca="1">SUM(E17:G17)</f>
        <v>3.4900805110278146</v>
      </c>
      <c r="I17" s="2">
        <f ca="1">E17/'1'!$H17</f>
        <v>0.33458101569508669</v>
      </c>
      <c r="J17" s="2">
        <f ca="1">F17/H17</f>
        <v>0.32740905182198982</v>
      </c>
      <c r="K17" s="2">
        <f ca="1">G17/H17</f>
        <v>0.33803951177775432</v>
      </c>
      <c r="L17" s="2">
        <f ca="1">-Data!$M17*LOG(I17)</f>
        <v>0.47549870477460687</v>
      </c>
      <c r="M17" s="2">
        <f ca="1">-Data!$N17*LOG(J17)</f>
        <v>0</v>
      </c>
      <c r="N17" s="2">
        <f ca="1">-Data!$O17*LOG(K17)</f>
        <v>0</v>
      </c>
      <c r="O17" s="2">
        <f ca="1">SUM(L17:N17)</f>
        <v>0.47549870477460687</v>
      </c>
      <c r="P17" s="2"/>
      <c r="Q17" s="2">
        <f ca="1">(I17-'1'!Z17)*'1'!V17</f>
        <v>1.1552614460679478E-5</v>
      </c>
      <c r="R17" s="2">
        <f>('1'!$I17-Data!$M17)*'1'!W17</f>
        <v>-8.3333333333333315E-2</v>
      </c>
      <c r="S17" s="2">
        <f>('1'!$I17-Data!$M17)*'1'!X17</f>
        <v>-1.5065913370998114E-2</v>
      </c>
      <c r="T17" s="2">
        <f>('1'!$I17-Data!$M17)*'1'!Y17</f>
        <v>-9.2592592592592605E-3</v>
      </c>
      <c r="U17" s="2">
        <f>('1'!$I17-Data!$M17)</f>
        <v>-0.66666666666666674</v>
      </c>
      <c r="V17" s="2">
        <f>('1'!$J17-Data!$N17)*'1'!V17</f>
        <v>3.0864197530864356E-3</v>
      </c>
      <c r="W17" s="2">
        <f>('1'!$J17-Data!$N17)*'1'!W17</f>
        <v>4.166666666666665E-2</v>
      </c>
      <c r="X17" s="2">
        <f>('1'!$J17-Data!$N17)*'1'!X17</f>
        <v>7.5329566854990555E-3</v>
      </c>
      <c r="Y17" s="2">
        <f>('1'!$J17-Data!$N17)*'1'!Y17</f>
        <v>4.6296296296296294E-3</v>
      </c>
      <c r="Z17" s="2">
        <f>('1'!$J17-Data!$N17)</f>
        <v>0.33333333333333331</v>
      </c>
      <c r="AA17" s="2">
        <f>('1'!$K17-Data!$O17)*'1'!V17</f>
        <v>3.0864197530864356E-3</v>
      </c>
      <c r="AB17" s="2">
        <f>('1'!$K17-Data!$O17)*'1'!W17</f>
        <v>4.166666666666665E-2</v>
      </c>
      <c r="AC17" s="2">
        <f>('1'!$K17-Data!$O17)*'1'!X17</f>
        <v>7.5329566854990555E-3</v>
      </c>
      <c r="AD17" s="2">
        <f>('1'!$K17-Data!$O17)*'1'!Y17</f>
        <v>4.6296296296296294E-3</v>
      </c>
      <c r="AE17" s="2">
        <f>('1'!$K17-Data!$O17)</f>
        <v>0.33333333333333331</v>
      </c>
    </row>
    <row r="18" spans="2:31" x14ac:dyDescent="0.25">
      <c r="B18" s="2">
        <f ca="1">B$2*Data!$I18+B$3*Data!$J18+B$4*Data!$K18+B$5*Data!$L18+B$6</f>
        <v>0.16986886595132</v>
      </c>
      <c r="C18" s="2">
        <f ca="1">C$2*Data!$I18+C$3*Data!$J18+C$4*Data!$K18+C$5*Data!$L18+C$6</f>
        <v>0.14960208038523032</v>
      </c>
      <c r="D18" s="2">
        <f ca="1">D$2*Data!$I18+D$3*Data!$J18+D$4*Data!$K18+D$5*Data!$L18+D$6</f>
        <v>0.19345278247700992</v>
      </c>
      <c r="E18" s="2">
        <f ca="1">EXP(B18)</f>
        <v>1.1851494276871797</v>
      </c>
      <c r="F18" s="2">
        <f ca="1">EXP(C18)</f>
        <v>1.1613720180642197</v>
      </c>
      <c r="G18" s="2">
        <f ca="1">EXP(D18)</f>
        <v>1.2134320899412048</v>
      </c>
      <c r="H18" s="2">
        <f ca="1">SUM(E18:G18)</f>
        <v>3.5599535356926042</v>
      </c>
      <c r="I18" s="2">
        <f ca="1">E18/'1'!$H18</f>
        <v>0.3329649669175152</v>
      </c>
      <c r="J18" s="2">
        <f ca="1">F18/H18</f>
        <v>0.32623235287206348</v>
      </c>
      <c r="K18" s="2">
        <f ca="1">G18/H18</f>
        <v>0.34085615943443104</v>
      </c>
      <c r="L18" s="2">
        <f ca="1">-Data!$M18*LOG(I18)</f>
        <v>0.47760145861016384</v>
      </c>
      <c r="M18" s="2">
        <f ca="1">-Data!$N18*LOG(J18)</f>
        <v>0</v>
      </c>
      <c r="N18" s="2">
        <f ca="1">-Data!$O18*LOG(K18)</f>
        <v>0</v>
      </c>
      <c r="O18" s="2">
        <f ca="1">SUM(L18:N18)</f>
        <v>0.47760145861016384</v>
      </c>
      <c r="P18" s="2"/>
      <c r="Q18" s="2">
        <f ca="1">(I18-'1'!Z18)*'1'!V18</f>
        <v>-2.0464800878787048E-5</v>
      </c>
      <c r="R18" s="2">
        <f>('1'!$I18-Data!$M18)*'1'!W18</f>
        <v>-0.10185185185185186</v>
      </c>
      <c r="S18" s="2">
        <f>('1'!$I18-Data!$M18)*'1'!X18</f>
        <v>-1.8832391713747648E-2</v>
      </c>
      <c r="T18" s="2">
        <f>('1'!$I18-Data!$M18)*'1'!Y18</f>
        <v>0</v>
      </c>
      <c r="U18" s="2">
        <f>('1'!$I18-Data!$M18)</f>
        <v>-0.66666666666666663</v>
      </c>
      <c r="V18" s="2">
        <f>('1'!$J18-Data!$N18)*'1'!V18</f>
        <v>1.8518518518518538E-2</v>
      </c>
      <c r="W18" s="2">
        <f>('1'!$J18-Data!$N18)*'1'!W18</f>
        <v>5.0925925925925937E-2</v>
      </c>
      <c r="X18" s="2">
        <f>('1'!$J18-Data!$N18)*'1'!X18</f>
        <v>9.4161958568738258E-3</v>
      </c>
      <c r="Y18" s="2">
        <f>('1'!$J18-Data!$N18)*'1'!Y18</f>
        <v>0</v>
      </c>
      <c r="Z18" s="2">
        <f>('1'!$J18-Data!$N18)</f>
        <v>0.33333333333333337</v>
      </c>
      <c r="AA18" s="2">
        <f>('1'!$K18-Data!$O18)*'1'!V18</f>
        <v>1.8518518518518538E-2</v>
      </c>
      <c r="AB18" s="2">
        <f>('1'!$K18-Data!$O18)*'1'!W18</f>
        <v>5.0925925925925937E-2</v>
      </c>
      <c r="AC18" s="2">
        <f>('1'!$K18-Data!$O18)*'1'!X18</f>
        <v>9.4161958568738258E-3</v>
      </c>
      <c r="AD18" s="2">
        <f>('1'!$K18-Data!$O18)*'1'!Y18</f>
        <v>0</v>
      </c>
      <c r="AE18" s="2">
        <f>('1'!$K18-Data!$O18)</f>
        <v>0.33333333333333337</v>
      </c>
    </row>
    <row r="19" spans="2:31" x14ac:dyDescent="0.25">
      <c r="B19" s="2">
        <f ca="1">B$2*Data!$I19+B$3*Data!$J19+B$4*Data!$K19+B$5*Data!$L19+B$6</f>
        <v>0.20744345442868622</v>
      </c>
      <c r="C19" s="2">
        <f ca="1">C$2*Data!$I19+C$3*Data!$J19+C$4*Data!$K19+C$5*Data!$L19+C$6</f>
        <v>0.1807588447885225</v>
      </c>
      <c r="D19" s="2">
        <f ca="1">D$2*Data!$I19+D$3*Data!$J19+D$4*Data!$K19+D$5*Data!$L19+D$6</f>
        <v>0.25388809626301811</v>
      </c>
      <c r="E19" s="2">
        <f ca="1">EXP(B19)</f>
        <v>1.2305281339564567</v>
      </c>
      <c r="F19" s="2">
        <f ca="1">EXP(C19)</f>
        <v>1.1981262100718166</v>
      </c>
      <c r="G19" s="2">
        <f ca="1">EXP(D19)</f>
        <v>1.2890275491967864</v>
      </c>
      <c r="H19" s="2">
        <f ca="1">SUM(E19:G19)</f>
        <v>3.7176818932250599</v>
      </c>
      <c r="I19" s="2">
        <f ca="1">E19/'1'!$H19</f>
        <v>0.33114498907113998</v>
      </c>
      <c r="J19" s="2">
        <f ca="1">F19/H19</f>
        <v>0.32227776460789426</v>
      </c>
      <c r="K19" s="2">
        <f ca="1">G19/H19</f>
        <v>0.34672884507570528</v>
      </c>
      <c r="L19" s="2">
        <f ca="1">-Data!$M19*LOG(I19)</f>
        <v>0.47998181236771492</v>
      </c>
      <c r="M19" s="2">
        <f ca="1">-Data!$N19*LOG(J19)</f>
        <v>0</v>
      </c>
      <c r="N19" s="2">
        <f ca="1">-Data!$O19*LOG(K19)</f>
        <v>0</v>
      </c>
      <c r="O19" s="2">
        <f ca="1">SUM(L19:N19)</f>
        <v>0.47998181236771492</v>
      </c>
      <c r="P19" s="2"/>
      <c r="Q19" s="2">
        <f ca="1">(I19-'1'!Z19)*'1'!V19</f>
        <v>-2.2288691559377096E-4</v>
      </c>
      <c r="R19" s="2">
        <f>('1'!$I19-Data!$M19)*'1'!W19</f>
        <v>-0.15740740740740738</v>
      </c>
      <c r="S19" s="2">
        <f>('1'!$I19-Data!$M19)*'1'!X19</f>
        <v>-1.8832391713747648E-2</v>
      </c>
      <c r="T19" s="2">
        <f>('1'!$I19-Data!$M19)*'1'!Y19</f>
        <v>-9.2592592592592605E-3</v>
      </c>
      <c r="U19" s="2">
        <f>('1'!$I19-Data!$M19)</f>
        <v>-0.66666666666666663</v>
      </c>
      <c r="V19" s="2">
        <f>('1'!$J19-Data!$N19)*'1'!V19</f>
        <v>3.3950617283950636E-2</v>
      </c>
      <c r="W19" s="2">
        <f>('1'!$J19-Data!$N19)*'1'!W19</f>
        <v>7.8703703703703706E-2</v>
      </c>
      <c r="X19" s="2">
        <f>('1'!$J19-Data!$N19)*'1'!X19</f>
        <v>9.4161958568738258E-3</v>
      </c>
      <c r="Y19" s="2">
        <f>('1'!$J19-Data!$N19)*'1'!Y19</f>
        <v>4.6296296296296311E-3</v>
      </c>
      <c r="Z19" s="2">
        <f>('1'!$J19-Data!$N19)</f>
        <v>0.33333333333333337</v>
      </c>
      <c r="AA19" s="2">
        <f>('1'!$K19-Data!$O19)*'1'!V19</f>
        <v>3.3950617283950636E-2</v>
      </c>
      <c r="AB19" s="2">
        <f>('1'!$K19-Data!$O19)*'1'!W19</f>
        <v>7.8703703703703706E-2</v>
      </c>
      <c r="AC19" s="2">
        <f>('1'!$K19-Data!$O19)*'1'!X19</f>
        <v>9.4161958568738258E-3</v>
      </c>
      <c r="AD19" s="2">
        <f>('1'!$K19-Data!$O19)*'1'!Y19</f>
        <v>4.6296296296296311E-3</v>
      </c>
      <c r="AE19" s="2">
        <f>('1'!$K19-Data!$O19)</f>
        <v>0.33333333333333337</v>
      </c>
    </row>
    <row r="20" spans="2:31" x14ac:dyDescent="0.25">
      <c r="B20" s="2">
        <f ca="1">B$2*Data!$I20+B$3*Data!$J20+B$4*Data!$K20+B$5*Data!$L20+B$6</f>
        <v>0.18657926465598718</v>
      </c>
      <c r="C20" s="2">
        <f ca="1">C$2*Data!$I20+C$3*Data!$J20+C$4*Data!$K20+C$5*Data!$L20+C$6</f>
        <v>0.15925796456927233</v>
      </c>
      <c r="D20" s="2">
        <f ca="1">D$2*Data!$I20+D$3*Data!$J20+D$4*Data!$K20+D$5*Data!$L20+D$6</f>
        <v>0.21383791201767921</v>
      </c>
      <c r="E20" s="2">
        <f ca="1">EXP(B20)</f>
        <v>1.2051201417334381</v>
      </c>
      <c r="F20" s="2">
        <f ca="1">EXP(C20)</f>
        <v>1.1726404073445649</v>
      </c>
      <c r="G20" s="2">
        <f ca="1">EXP(D20)</f>
        <v>1.2384219052164664</v>
      </c>
      <c r="H20" s="2">
        <f ca="1">SUM(E20:G20)</f>
        <v>3.6161824542944694</v>
      </c>
      <c r="I20" s="2">
        <f ca="1">E20/'1'!$H20</f>
        <v>0.33334029481991728</v>
      </c>
      <c r="J20" s="2">
        <f ca="1">F20/H20</f>
        <v>0.32427578590565098</v>
      </c>
      <c r="K20" s="2">
        <f ca="1">G20/H20</f>
        <v>0.34246665395595677</v>
      </c>
      <c r="L20" s="2">
        <f ca="1">-Data!$M20*LOG(I20)</f>
        <v>0.47711218480874446</v>
      </c>
      <c r="M20" s="2">
        <f ca="1">-Data!$N20*LOG(J20)</f>
        <v>0</v>
      </c>
      <c r="N20" s="2">
        <f ca="1">-Data!$O20*LOG(K20)</f>
        <v>0</v>
      </c>
      <c r="O20" s="2">
        <f ca="1">SUM(L20:N20)</f>
        <v>0.47711218480874446</v>
      </c>
      <c r="P20" s="2"/>
      <c r="Q20" s="2">
        <f ca="1">(I20-'1'!Z20)*'1'!V20</f>
        <v>3.2229104555404323E-7</v>
      </c>
      <c r="R20" s="2">
        <f>('1'!$I20-Data!$M20)*'1'!W20</f>
        <v>-0.12962962962962962</v>
      </c>
      <c r="S20" s="2">
        <f>('1'!$I20-Data!$M20)*'1'!X20</f>
        <v>-2.2598870056497179E-2</v>
      </c>
      <c r="T20" s="2">
        <f>('1'!$I20-Data!$M20)*'1'!Y20</f>
        <v>-9.2592592592592605E-3</v>
      </c>
      <c r="U20" s="2">
        <f>('1'!$I20-Data!$M20)</f>
        <v>-0.66666666666666674</v>
      </c>
      <c r="V20" s="2">
        <f>('1'!$J20-Data!$N20)*'1'!V20</f>
        <v>1.5432098765432094E-2</v>
      </c>
      <c r="W20" s="2">
        <f>('1'!$J20-Data!$N20)*'1'!W20</f>
        <v>6.4814814814814797E-2</v>
      </c>
      <c r="X20" s="2">
        <f>('1'!$J20-Data!$N20)*'1'!X20</f>
        <v>1.1299435028248588E-2</v>
      </c>
      <c r="Y20" s="2">
        <f>('1'!$J20-Data!$N20)*'1'!Y20</f>
        <v>4.6296296296296294E-3</v>
      </c>
      <c r="Z20" s="2">
        <f>('1'!$J20-Data!$N20)</f>
        <v>0.33333333333333331</v>
      </c>
      <c r="AA20" s="2">
        <f>('1'!$K20-Data!$O20)*'1'!V20</f>
        <v>1.5432098765432094E-2</v>
      </c>
      <c r="AB20" s="2">
        <f>('1'!$K20-Data!$O20)*'1'!W20</f>
        <v>6.4814814814814797E-2</v>
      </c>
      <c r="AC20" s="2">
        <f>('1'!$K20-Data!$O20)*'1'!X20</f>
        <v>1.1299435028248588E-2</v>
      </c>
      <c r="AD20" s="2">
        <f>('1'!$K20-Data!$O20)*'1'!Y20</f>
        <v>4.6296296296296294E-3</v>
      </c>
      <c r="AE20" s="2">
        <f>('1'!$K20-Data!$O20)</f>
        <v>0.33333333333333331</v>
      </c>
    </row>
    <row r="21" spans="2:31" x14ac:dyDescent="0.25">
      <c r="B21" s="2">
        <f ca="1">B$2*Data!$I21+B$3*Data!$J21+B$4*Data!$K21+B$5*Data!$L21+B$6</f>
        <v>0.16459622444829888</v>
      </c>
      <c r="C21" s="2">
        <f ca="1">C$2*Data!$I21+C$3*Data!$J21+C$4*Data!$K21+C$5*Data!$L21+C$6</f>
        <v>0.14235038858801957</v>
      </c>
      <c r="D21" s="2">
        <f ca="1">D$2*Data!$I21+D$3*Data!$J21+D$4*Data!$K21+D$5*Data!$L21+D$6</f>
        <v>0.18005903668119649</v>
      </c>
      <c r="E21" s="2">
        <f ca="1">EXP(B21)</f>
        <v>1.1789170047322712</v>
      </c>
      <c r="F21" s="2">
        <f ca="1">EXP(C21)</f>
        <v>1.1529805690018984</v>
      </c>
      <c r="G21" s="2">
        <f ca="1">EXP(D21)</f>
        <v>1.1972880449479895</v>
      </c>
      <c r="H21" s="2">
        <f ca="1">SUM(E21:G21)</f>
        <v>3.5291856186821589</v>
      </c>
      <c r="I21" s="2">
        <f ca="1">E21/'1'!$H21</f>
        <v>0.33408785529387613</v>
      </c>
      <c r="J21" s="2">
        <f ca="1">F21/H21</f>
        <v>0.32669876101116935</v>
      </c>
      <c r="K21" s="2">
        <f ca="1">G21/H21</f>
        <v>0.33925335029418813</v>
      </c>
      <c r="L21" s="2">
        <f ca="1">-Data!$M21*LOG(I21)</f>
        <v>0.47613931147566529</v>
      </c>
      <c r="M21" s="2">
        <f ca="1">-Data!$N21*LOG(J21)</f>
        <v>0</v>
      </c>
      <c r="N21" s="2">
        <f ca="1">-Data!$O21*LOG(K21)</f>
        <v>0</v>
      </c>
      <c r="O21" s="2">
        <f ca="1">SUM(L21:N21)</f>
        <v>0.47613931147566529</v>
      </c>
      <c r="P21" s="2"/>
      <c r="Q21" s="2">
        <f ca="1">(I21-'1'!Z21)*'1'!V21</f>
        <v>3.493157224735277E-5</v>
      </c>
      <c r="R21" s="2">
        <f>('1'!$I21-Data!$M21)*'1'!W21</f>
        <v>-9.2592592592592587E-2</v>
      </c>
      <c r="S21" s="2">
        <f>('1'!$I21-Data!$M21)*'1'!X21</f>
        <v>-1.5065913370998114E-2</v>
      </c>
      <c r="T21" s="2">
        <f>('1'!$I21-Data!$M21)*'1'!Y21</f>
        <v>0</v>
      </c>
      <c r="U21" s="2">
        <f>('1'!$I21-Data!$M21)</f>
        <v>-0.66666666666666674</v>
      </c>
      <c r="V21" s="2">
        <f>('1'!$J21-Data!$N21)*'1'!V21</f>
        <v>1.5432098765432094E-2</v>
      </c>
      <c r="W21" s="2">
        <f>('1'!$J21-Data!$N21)*'1'!W21</f>
        <v>4.6296296296296287E-2</v>
      </c>
      <c r="X21" s="2">
        <f>('1'!$J21-Data!$N21)*'1'!X21</f>
        <v>7.5329566854990555E-3</v>
      </c>
      <c r="Y21" s="2">
        <f>('1'!$J21-Data!$N21)*'1'!Y21</f>
        <v>0</v>
      </c>
      <c r="Z21" s="2">
        <f>('1'!$J21-Data!$N21)</f>
        <v>0.33333333333333331</v>
      </c>
      <c r="AA21" s="2">
        <f>('1'!$K21-Data!$O21)*'1'!V21</f>
        <v>1.5432098765432094E-2</v>
      </c>
      <c r="AB21" s="2">
        <f>('1'!$K21-Data!$O21)*'1'!W21</f>
        <v>4.6296296296296287E-2</v>
      </c>
      <c r="AC21" s="2">
        <f>('1'!$K21-Data!$O21)*'1'!X21</f>
        <v>7.5329566854990555E-3</v>
      </c>
      <c r="AD21" s="2">
        <f>('1'!$K21-Data!$O21)*'1'!Y21</f>
        <v>0</v>
      </c>
      <c r="AE21" s="2">
        <f>('1'!$K21-Data!$O21)</f>
        <v>0.33333333333333331</v>
      </c>
    </row>
    <row r="22" spans="2:31" x14ac:dyDescent="0.25">
      <c r="B22" s="2">
        <f ca="1">B$2*Data!$I22+B$3*Data!$J22+B$4*Data!$K22+B$5*Data!$L22+B$6</f>
        <v>0.17166281640014092</v>
      </c>
      <c r="C22" s="2">
        <f ca="1">C$2*Data!$I22+C$3*Data!$J22+C$4*Data!$K22+C$5*Data!$L22+C$6</f>
        <v>0.11942890373136683</v>
      </c>
      <c r="D22" s="2">
        <f ca="1">D$2*Data!$I22+D$3*Data!$J22+D$4*Data!$K22+D$5*Data!$L22+D$6</f>
        <v>0.13899302563120494</v>
      </c>
      <c r="E22" s="2">
        <f ca="1">EXP(B22)</f>
        <v>1.1872774352342397</v>
      </c>
      <c r="F22" s="2">
        <f ca="1">EXP(C22)</f>
        <v>1.1268531261666297</v>
      </c>
      <c r="G22" s="2">
        <f ca="1">EXP(D22)</f>
        <v>1.1491160856162881</v>
      </c>
      <c r="H22" s="2">
        <f ca="1">SUM(E22:G22)</f>
        <v>3.4632466470171575</v>
      </c>
      <c r="I22" s="2">
        <f ca="1">E22/'1'!$H22</f>
        <v>0.3429018397746687</v>
      </c>
      <c r="J22" s="2">
        <f ca="1">F22/H22</f>
        <v>0.32537478297630679</v>
      </c>
      <c r="K22" s="2">
        <f ca="1">G22/H22</f>
        <v>0.3318031323602102</v>
      </c>
      <c r="L22" s="2">
        <f ca="1">-Data!$M22*LOG(I22)</f>
        <v>0.46483018475427978</v>
      </c>
      <c r="M22" s="2">
        <f ca="1">-Data!$N22*LOG(J22)</f>
        <v>0</v>
      </c>
      <c r="N22" s="2">
        <f ca="1">-Data!$O22*LOG(K22)</f>
        <v>0</v>
      </c>
      <c r="O22" s="2">
        <f ca="1">SUM(L22:N22)</f>
        <v>0.46483018475427978</v>
      </c>
      <c r="P22" s="2"/>
      <c r="Q22" s="2">
        <f ca="1">(I22-'1'!Z22)*'1'!V22</f>
        <v>0</v>
      </c>
      <c r="R22" s="2">
        <f>('1'!$I22-Data!$M22)*'1'!W22</f>
        <v>-9.2592592592592587E-2</v>
      </c>
      <c r="S22" s="2">
        <f>('1'!$I22-Data!$M22)*'1'!X22</f>
        <v>-3.7664783427495325E-3</v>
      </c>
      <c r="T22" s="2">
        <f>('1'!$I22-Data!$M22)*'1'!Y22</f>
        <v>0</v>
      </c>
      <c r="U22" s="2">
        <f>('1'!$I22-Data!$M22)</f>
        <v>-0.66666666666666674</v>
      </c>
      <c r="V22" s="2">
        <f>('1'!$J22-Data!$N22)*'1'!V22</f>
        <v>0</v>
      </c>
      <c r="W22" s="2">
        <f>('1'!$J22-Data!$N22)*'1'!W22</f>
        <v>4.6296296296296287E-2</v>
      </c>
      <c r="X22" s="2">
        <f>('1'!$J22-Data!$N22)*'1'!X22</f>
        <v>1.883239171374766E-3</v>
      </c>
      <c r="Y22" s="2">
        <f>('1'!$J22-Data!$N22)*'1'!Y22</f>
        <v>0</v>
      </c>
      <c r="Z22" s="2">
        <f>('1'!$J22-Data!$N22)</f>
        <v>0.33333333333333331</v>
      </c>
      <c r="AA22" s="2">
        <f>('1'!$K22-Data!$O22)*'1'!V22</f>
        <v>0</v>
      </c>
      <c r="AB22" s="2">
        <f>('1'!$K22-Data!$O22)*'1'!W22</f>
        <v>4.6296296296296287E-2</v>
      </c>
      <c r="AC22" s="2">
        <f>('1'!$K22-Data!$O22)*'1'!X22</f>
        <v>1.883239171374766E-3</v>
      </c>
      <c r="AD22" s="2">
        <f>('1'!$K22-Data!$O22)*'1'!Y22</f>
        <v>0</v>
      </c>
      <c r="AE22" s="2">
        <f>('1'!$K22-Data!$O22)</f>
        <v>0.33333333333333331</v>
      </c>
    </row>
    <row r="23" spans="2:31" x14ac:dyDescent="0.25">
      <c r="B23" s="2">
        <f ca="1">B$2*Data!$I23+B$3*Data!$J23+B$4*Data!$K23+B$5*Data!$L23+B$6</f>
        <v>0.23241513897312086</v>
      </c>
      <c r="C23" s="2">
        <f ca="1">C$2*Data!$I23+C$3*Data!$J23+C$4*Data!$K23+C$5*Data!$L23+C$6</f>
        <v>0.19115911919112899</v>
      </c>
      <c r="D23" s="2">
        <f ca="1">D$2*Data!$I23+D$3*Data!$J23+D$4*Data!$K23+D$5*Data!$L23+D$6</f>
        <v>0.27409523336117469</v>
      </c>
      <c r="E23" s="2">
        <f ca="1">EXP(B23)</f>
        <v>1.2616433774634954</v>
      </c>
      <c r="F23" s="2">
        <f ca="1">EXP(C23)</f>
        <v>1.2106520747347831</v>
      </c>
      <c r="G23" s="2">
        <f ca="1">EXP(D23)</f>
        <v>1.3153400605292977</v>
      </c>
      <c r="H23" s="2">
        <f ca="1">SUM(E23:G23)</f>
        <v>3.7876355127275767</v>
      </c>
      <c r="I23" s="2">
        <f ca="1">E23/'1'!$H23</f>
        <v>0.33328621726285984</v>
      </c>
      <c r="J23" s="2">
        <f ca="1">F23/H23</f>
        <v>0.31963267602350692</v>
      </c>
      <c r="K23" s="2">
        <f ca="1">G23/H23</f>
        <v>0.34727207940398852</v>
      </c>
      <c r="L23" s="2">
        <f ca="1">-Data!$M23*LOG(I23)</f>
        <v>0.47718264580677167</v>
      </c>
      <c r="M23" s="2">
        <f ca="1">-Data!$N23*LOG(J23)</f>
        <v>0</v>
      </c>
      <c r="N23" s="2">
        <f ca="1">-Data!$O23*LOG(K23)</f>
        <v>0</v>
      </c>
      <c r="O23" s="2">
        <f ca="1">SUM(L23:N23)</f>
        <v>0.47718264580677167</v>
      </c>
      <c r="P23" s="2"/>
      <c r="Q23" s="2">
        <f ca="1">(I23-'1'!Z23)*'1'!V23</f>
        <v>-6.5438986768791135E-6</v>
      </c>
      <c r="R23" s="2">
        <f>('1'!$I23-Data!$M23)*'1'!W23</f>
        <v>-0.18518518518518517</v>
      </c>
      <c r="S23" s="2">
        <f>('1'!$I23-Data!$M23)*'1'!X23</f>
        <v>-7.5329566854990572E-3</v>
      </c>
      <c r="T23" s="2">
        <f>('1'!$I23-Data!$M23)*'1'!Y23</f>
        <v>-9.2592592592592605E-3</v>
      </c>
      <c r="U23" s="2">
        <f>('1'!$I23-Data!$M23)</f>
        <v>-0.66666666666666663</v>
      </c>
      <c r="V23" s="2">
        <f>('1'!$J23-Data!$N23)*'1'!V23</f>
        <v>4.6296296296296301E-2</v>
      </c>
      <c r="W23" s="2">
        <f>('1'!$J23-Data!$N23)*'1'!W23</f>
        <v>9.2592592592592601E-2</v>
      </c>
      <c r="X23" s="2">
        <f>('1'!$J23-Data!$N23)*'1'!X23</f>
        <v>3.766478342749529E-3</v>
      </c>
      <c r="Y23" s="2">
        <f>('1'!$J23-Data!$N23)*'1'!Y23</f>
        <v>4.6296296296296311E-3</v>
      </c>
      <c r="Z23" s="2">
        <f>('1'!$J23-Data!$N23)</f>
        <v>0.33333333333333337</v>
      </c>
      <c r="AA23" s="2">
        <f>('1'!$K23-Data!$O23)*'1'!V23</f>
        <v>4.6296296296296301E-2</v>
      </c>
      <c r="AB23" s="2">
        <f>('1'!$K23-Data!$O23)*'1'!W23</f>
        <v>9.2592592592592601E-2</v>
      </c>
      <c r="AC23" s="2">
        <f>('1'!$K23-Data!$O23)*'1'!X23</f>
        <v>3.766478342749529E-3</v>
      </c>
      <c r="AD23" s="2">
        <f>('1'!$K23-Data!$O23)*'1'!Y23</f>
        <v>4.6296296296296311E-3</v>
      </c>
      <c r="AE23" s="2">
        <f>('1'!$K23-Data!$O23)</f>
        <v>0.33333333333333337</v>
      </c>
    </row>
    <row r="24" spans="2:31" x14ac:dyDescent="0.25">
      <c r="B24" s="2">
        <f ca="1">B$2*Data!$I24+B$3*Data!$J24+B$4*Data!$K24+B$5*Data!$L24+B$6</f>
        <v>0.24912941121880966</v>
      </c>
      <c r="C24" s="2">
        <f ca="1">C$2*Data!$I24+C$3*Data!$J24+C$4*Data!$K24+C$5*Data!$L24+C$6</f>
        <v>0.21261841268975706</v>
      </c>
      <c r="D24" s="2">
        <f ca="1">D$2*Data!$I24+D$3*Data!$J24+D$4*Data!$K24+D$5*Data!$L24+D$6</f>
        <v>0.31784257157166018</v>
      </c>
      <c r="E24" s="2">
        <f ca="1">EXP(B24)</f>
        <v>1.2829080450214021</v>
      </c>
      <c r="F24" s="2">
        <f ca="1">EXP(C24)</f>
        <v>1.236912571038433</v>
      </c>
      <c r="G24" s="2">
        <f ca="1">EXP(D24)</f>
        <v>1.3741599123629862</v>
      </c>
      <c r="H24" s="2">
        <f ca="1">SUM(E24:G24)</f>
        <v>3.8939805284228215</v>
      </c>
      <c r="I24" s="2">
        <f ca="1">E24/'1'!$H24</f>
        <v>0.3297744501460817</v>
      </c>
      <c r="J24" s="2">
        <f ca="1">F24/H24</f>
        <v>0.3176473436397535</v>
      </c>
      <c r="K24" s="2">
        <f ca="1">G24/H24</f>
        <v>0.35289337024999506</v>
      </c>
      <c r="L24" s="2">
        <f ca="1">-Data!$M24*LOG(I24)</f>
        <v>0.48178299511480599</v>
      </c>
      <c r="M24" s="2">
        <f ca="1">-Data!$N24*LOG(J24)</f>
        <v>0</v>
      </c>
      <c r="N24" s="2">
        <f ca="1">-Data!$O24*LOG(K24)</f>
        <v>0</v>
      </c>
      <c r="O24" s="2">
        <f ca="1">SUM(L24:N24)</f>
        <v>0.48178299511480599</v>
      </c>
      <c r="P24" s="2"/>
      <c r="Q24" s="2">
        <f ca="1">(I24-'1'!Z24)*'1'!V24</f>
        <v>-4.6133670945854287E-4</v>
      </c>
      <c r="R24" s="2">
        <f>('1'!$I24-Data!$M24)*'1'!W24</f>
        <v>-0.22222222222222224</v>
      </c>
      <c r="S24" s="2">
        <f>('1'!$I24-Data!$M24)*'1'!X24</f>
        <v>-1.8832391713747645E-2</v>
      </c>
      <c r="T24" s="2">
        <f>('1'!$I24-Data!$M24)*'1'!Y24</f>
        <v>-2.7777777777777783E-2</v>
      </c>
      <c r="U24" s="2">
        <f>('1'!$I24-Data!$M24)</f>
        <v>-0.66666666666666674</v>
      </c>
      <c r="V24" s="2">
        <f>('1'!$J24-Data!$N24)*'1'!V24</f>
        <v>4.3209876543209881E-2</v>
      </c>
      <c r="W24" s="2">
        <f>('1'!$J24-Data!$N24)*'1'!W24</f>
        <v>0.1111111111111111</v>
      </c>
      <c r="X24" s="2">
        <f>('1'!$J24-Data!$N24)*'1'!X24</f>
        <v>9.4161958568738206E-3</v>
      </c>
      <c r="Y24" s="2">
        <f>('1'!$J24-Data!$N24)*'1'!Y24</f>
        <v>1.388888888888889E-2</v>
      </c>
      <c r="Z24" s="2">
        <f>('1'!$J24-Data!$N24)</f>
        <v>0.33333333333333331</v>
      </c>
      <c r="AA24" s="2">
        <f>('1'!$K24-Data!$O24)*'1'!V24</f>
        <v>4.3209876543209881E-2</v>
      </c>
      <c r="AB24" s="2">
        <f>('1'!$K24-Data!$O24)*'1'!W24</f>
        <v>0.1111111111111111</v>
      </c>
      <c r="AC24" s="2">
        <f>('1'!$K24-Data!$O24)*'1'!X24</f>
        <v>9.4161958568738206E-3</v>
      </c>
      <c r="AD24" s="2">
        <f>('1'!$K24-Data!$O24)*'1'!Y24</f>
        <v>1.388888888888889E-2</v>
      </c>
      <c r="AE24" s="2">
        <f>('1'!$K24-Data!$O24)</f>
        <v>0.33333333333333331</v>
      </c>
    </row>
    <row r="25" spans="2:31" x14ac:dyDescent="0.25">
      <c r="B25" s="2">
        <f ca="1">B$2*Data!$I25+B$3*Data!$J25+B$4*Data!$K25+B$5*Data!$L25+B$6</f>
        <v>0.2170576364432201</v>
      </c>
      <c r="C25" s="2">
        <f ca="1">C$2*Data!$I25+C$3*Data!$J25+C$4*Data!$K25+C$5*Data!$L25+C$6</f>
        <v>0.18987557436282532</v>
      </c>
      <c r="D25" s="2">
        <f ca="1">D$2*Data!$I25+D$3*Data!$J25+D$4*Data!$K25+D$5*Data!$L25+D$6</f>
        <v>0.27498769314875771</v>
      </c>
      <c r="E25" s="2">
        <f ca="1">EXP(B25)</f>
        <v>1.2424157084966148</v>
      </c>
      <c r="F25" s="2">
        <f ca="1">EXP(C25)</f>
        <v>1.2090991453658149</v>
      </c>
      <c r="G25" s="2">
        <f ca="1">EXP(D25)</f>
        <v>1.3165144726201496</v>
      </c>
      <c r="H25" s="2">
        <f ca="1">SUM(E25:G25)</f>
        <v>3.768029326482579</v>
      </c>
      <c r="I25" s="2">
        <f ca="1">E25/'1'!$H25</f>
        <v>0.32993433795633831</v>
      </c>
      <c r="J25" s="2">
        <f ca="1">F25/H25</f>
        <v>0.32088368762631098</v>
      </c>
      <c r="K25" s="2">
        <f ca="1">G25/H25</f>
        <v>0.34939071821107714</v>
      </c>
      <c r="L25" s="2">
        <f ca="1">-Data!$M25*LOG(I25)</f>
        <v>0.48157248285142579</v>
      </c>
      <c r="M25" s="2">
        <f ca="1">-Data!$N25*LOG(J25)</f>
        <v>0</v>
      </c>
      <c r="N25" s="2">
        <f ca="1">-Data!$O25*LOG(K25)</f>
        <v>0</v>
      </c>
      <c r="O25" s="2">
        <f ca="1">SUM(L25:N25)</f>
        <v>0.48157248285142579</v>
      </c>
      <c r="P25" s="2"/>
      <c r="Q25" s="2">
        <f ca="1">(I25-'1'!Z25)*'1'!V25</f>
        <v>-3.4619397358282483E-4</v>
      </c>
      <c r="R25" s="2">
        <f>('1'!$I25-Data!$M25)*'1'!W25</f>
        <v>-0.1759259259259259</v>
      </c>
      <c r="S25" s="2">
        <f>('1'!$I25-Data!$M25)*'1'!X25</f>
        <v>-1.1299435028248589E-2</v>
      </c>
      <c r="T25" s="2">
        <f>('1'!$I25-Data!$M25)*'1'!Y25</f>
        <v>-2.7777777777777783E-2</v>
      </c>
      <c r="U25" s="2">
        <f>('1'!$I25-Data!$M25)</f>
        <v>-0.66666666666666674</v>
      </c>
      <c r="V25" s="2">
        <f>('1'!$J25-Data!$N25)*'1'!V25</f>
        <v>3.3950617283950622E-2</v>
      </c>
      <c r="W25" s="2">
        <f>('1'!$J25-Data!$N25)*'1'!W25</f>
        <v>8.7962962962962937E-2</v>
      </c>
      <c r="X25" s="2">
        <f>('1'!$J25-Data!$N25)*'1'!X25</f>
        <v>5.6497175141242938E-3</v>
      </c>
      <c r="Y25" s="2">
        <f>('1'!$J25-Data!$N25)*'1'!Y25</f>
        <v>1.388888888888889E-2</v>
      </c>
      <c r="Z25" s="2">
        <f>('1'!$J25-Data!$N25)</f>
        <v>0.33333333333333331</v>
      </c>
      <c r="AA25" s="2">
        <f>('1'!$K25-Data!$O25)*'1'!V25</f>
        <v>3.3950617283950622E-2</v>
      </c>
      <c r="AB25" s="2">
        <f>('1'!$K25-Data!$O25)*'1'!W25</f>
        <v>8.7962962962962937E-2</v>
      </c>
      <c r="AC25" s="2">
        <f>('1'!$K25-Data!$O25)*'1'!X25</f>
        <v>5.6497175141242938E-3</v>
      </c>
      <c r="AD25" s="2">
        <f>('1'!$K25-Data!$O25)*'1'!Y25</f>
        <v>1.388888888888889E-2</v>
      </c>
      <c r="AE25" s="2">
        <f>('1'!$K25-Data!$O25)</f>
        <v>0.33333333333333331</v>
      </c>
    </row>
    <row r="26" spans="2:31" x14ac:dyDescent="0.25">
      <c r="B26" s="2">
        <f ca="1">B$2*Data!$I26+B$3*Data!$J26+B$4*Data!$K26+B$5*Data!$L26+B$6</f>
        <v>0.19162940346064455</v>
      </c>
      <c r="C26" s="2">
        <f ca="1">C$2*Data!$I26+C$3*Data!$J26+C$4*Data!$K26+C$5*Data!$L26+C$6</f>
        <v>0.17080717871147638</v>
      </c>
      <c r="D26" s="2">
        <f ca="1">D$2*Data!$I26+D$3*Data!$J26+D$4*Data!$K26+D$5*Data!$L26+D$6</f>
        <v>0.23706906754539403</v>
      </c>
      <c r="E26" s="2">
        <f ca="1">EXP(B26)</f>
        <v>1.2112215592606985</v>
      </c>
      <c r="F26" s="2">
        <f ca="1">EXP(C26)</f>
        <v>1.1862619904021388</v>
      </c>
      <c r="G26" s="2">
        <f ca="1">EXP(D26)</f>
        <v>1.267528659845343</v>
      </c>
      <c r="H26" s="2">
        <f ca="1">SUM(E26:G26)</f>
        <v>3.6650122095081805</v>
      </c>
      <c r="I26" s="2">
        <f ca="1">E26/'1'!$H26</f>
        <v>0.33060925422364013</v>
      </c>
      <c r="J26" s="2">
        <f ca="1">F26/H26</f>
        <v>0.32367204325393695</v>
      </c>
      <c r="K26" s="2">
        <f ca="1">G26/H26</f>
        <v>0.34584568546783551</v>
      </c>
      <c r="L26" s="2">
        <f ca="1">-Data!$M26*LOG(I26)</f>
        <v>0.48068499407367266</v>
      </c>
      <c r="M26" s="2">
        <f ca="1">-Data!$N26*LOG(J26)</f>
        <v>0</v>
      </c>
      <c r="N26" s="2">
        <f ca="1">-Data!$O26*LOG(K26)</f>
        <v>0</v>
      </c>
      <c r="O26" s="2">
        <f ca="1">SUM(L26:N26)</f>
        <v>0.48068499407367266</v>
      </c>
      <c r="P26" s="2"/>
      <c r="Q26" s="2">
        <f ca="1">(I26-'1'!Z26)*'1'!V26</f>
        <v>-2.0178363775505097E-4</v>
      </c>
      <c r="R26" s="2">
        <f>('1'!$I26-Data!$M26)*'1'!W26</f>
        <v>-0.13888888888888887</v>
      </c>
      <c r="S26" s="2">
        <f>('1'!$I26-Data!$M26)*'1'!X26</f>
        <v>-1.5065913370998114E-2</v>
      </c>
      <c r="T26" s="2">
        <f>('1'!$I26-Data!$M26)*'1'!Y26</f>
        <v>-1.8518518518518521E-2</v>
      </c>
      <c r="U26" s="2">
        <f>('1'!$I26-Data!$M26)</f>
        <v>-0.66666666666666674</v>
      </c>
      <c r="V26" s="2">
        <f>('1'!$J26-Data!$N26)*'1'!V26</f>
        <v>2.4691358024691346E-2</v>
      </c>
      <c r="W26" s="2">
        <f>('1'!$J26-Data!$N26)*'1'!W26</f>
        <v>6.944444444444442E-2</v>
      </c>
      <c r="X26" s="2">
        <f>('1'!$J26-Data!$N26)*'1'!X26</f>
        <v>7.5329566854990555E-3</v>
      </c>
      <c r="Y26" s="2">
        <f>('1'!$J26-Data!$N26)*'1'!Y26</f>
        <v>9.2592592592592587E-3</v>
      </c>
      <c r="Z26" s="2">
        <f>('1'!$J26-Data!$N26)</f>
        <v>0.33333333333333331</v>
      </c>
      <c r="AA26" s="2">
        <f>('1'!$K26-Data!$O26)*'1'!V26</f>
        <v>2.4691358024691346E-2</v>
      </c>
      <c r="AB26" s="2">
        <f>('1'!$K26-Data!$O26)*'1'!W26</f>
        <v>6.944444444444442E-2</v>
      </c>
      <c r="AC26" s="2">
        <f>('1'!$K26-Data!$O26)*'1'!X26</f>
        <v>7.5329566854990555E-3</v>
      </c>
      <c r="AD26" s="2">
        <f>('1'!$K26-Data!$O26)*'1'!Y26</f>
        <v>9.2592592592592587E-3</v>
      </c>
      <c r="AE26" s="2">
        <f>('1'!$K26-Data!$O26)</f>
        <v>0.33333333333333331</v>
      </c>
    </row>
    <row r="27" spans="2:31" x14ac:dyDescent="0.25">
      <c r="B27" s="2">
        <f ca="1">B$2*Data!$I27+B$3*Data!$J27+B$4*Data!$K27+B$5*Data!$L27+B$6</f>
        <v>0.20608930327834979</v>
      </c>
      <c r="C27" s="2">
        <f ca="1">C$2*Data!$I27+C$3*Data!$J27+C$4*Data!$K27+C$5*Data!$L27+C$6</f>
        <v>0.2019681183006394</v>
      </c>
      <c r="D27" s="2">
        <f ca="1">D$2*Data!$I27+D$3*Data!$J27+D$4*Data!$K27+D$5*Data!$L27+D$6</f>
        <v>0.29420246542666134</v>
      </c>
      <c r="E27" s="2">
        <f ca="1">EXP(B27)</f>
        <v>1.2288629405845573</v>
      </c>
      <c r="F27" s="2">
        <f ca="1">EXP(C27)</f>
        <v>1.2238089903790796</v>
      </c>
      <c r="G27" s="2">
        <f ca="1">EXP(D27)</f>
        <v>1.3420555960207408</v>
      </c>
      <c r="H27" s="2">
        <f ca="1">SUM(E27:G27)</f>
        <v>3.7947275269843779</v>
      </c>
      <c r="I27" s="2">
        <f ca="1">E27/'1'!$H27</f>
        <v>0.32413032241334994</v>
      </c>
      <c r="J27" s="2">
        <f ca="1">F27/H27</f>
        <v>0.32250246735148996</v>
      </c>
      <c r="K27" s="2">
        <f ca="1">G27/H27</f>
        <v>0.35366323048950382</v>
      </c>
      <c r="L27" s="2">
        <f ca="1">-Data!$M27*LOG(I27)</f>
        <v>0.48928033878944094</v>
      </c>
      <c r="M27" s="2">
        <f ca="1">-Data!$N27*LOG(J27)</f>
        <v>0</v>
      </c>
      <c r="N27" s="2">
        <f ca="1">-Data!$O27*LOG(K27)</f>
        <v>0</v>
      </c>
      <c r="O27" s="2">
        <f ca="1">SUM(L27:N27)</f>
        <v>0.48928033878944094</v>
      </c>
      <c r="P27" s="2"/>
      <c r="Q27" s="2">
        <f ca="1">(I27-'1'!Z27)*'1'!V27</f>
        <v>-1.1929828970348901E-3</v>
      </c>
      <c r="R27" s="2">
        <f>('1'!$I27-Data!$M27)*'1'!W27</f>
        <v>-0.16666666666666663</v>
      </c>
      <c r="S27" s="2">
        <f>('1'!$I27-Data!$M27)*'1'!X27</f>
        <v>-2.6365348399246705E-2</v>
      </c>
      <c r="T27" s="2">
        <f>('1'!$I27-Data!$M27)*'1'!Y27</f>
        <v>-1.8518518518518517E-2</v>
      </c>
      <c r="U27" s="2">
        <f>('1'!$I27-Data!$M27)</f>
        <v>-0.66666666666666663</v>
      </c>
      <c r="V27" s="2">
        <f>('1'!$J27-Data!$N27)*'1'!V27</f>
        <v>4.3209876543209895E-2</v>
      </c>
      <c r="W27" s="2">
        <f>('1'!$J27-Data!$N27)*'1'!W27</f>
        <v>8.3333333333333329E-2</v>
      </c>
      <c r="X27" s="2">
        <f>('1'!$J27-Data!$N27)*'1'!X27</f>
        <v>1.3182674199623354E-2</v>
      </c>
      <c r="Y27" s="2">
        <f>('1'!$J27-Data!$N27)*'1'!Y27</f>
        <v>9.2592592592592605E-3</v>
      </c>
      <c r="Z27" s="2">
        <f>('1'!$J27-Data!$N27)</f>
        <v>0.33333333333333337</v>
      </c>
      <c r="AA27" s="2">
        <f>('1'!$K27-Data!$O27)*'1'!V27</f>
        <v>4.3209876543209895E-2</v>
      </c>
      <c r="AB27" s="2">
        <f>('1'!$K27-Data!$O27)*'1'!W27</f>
        <v>8.3333333333333329E-2</v>
      </c>
      <c r="AC27" s="2">
        <f>('1'!$K27-Data!$O27)*'1'!X27</f>
        <v>1.3182674199623354E-2</v>
      </c>
      <c r="AD27" s="2">
        <f>('1'!$K27-Data!$O27)*'1'!Y27</f>
        <v>9.2592592592592605E-3</v>
      </c>
      <c r="AE27" s="2">
        <f>('1'!$K27-Data!$O27)</f>
        <v>0.33333333333333337</v>
      </c>
    </row>
    <row r="28" spans="2:31" x14ac:dyDescent="0.25">
      <c r="B28" s="2">
        <f ca="1">B$2*Data!$I28+B$3*Data!$J28+B$4*Data!$K28+B$5*Data!$L28+B$6</f>
        <v>0.21200749763856272</v>
      </c>
      <c r="C28" s="2">
        <f ca="1">C$2*Data!$I28+C$3*Data!$J28+C$4*Data!$K28+C$5*Data!$L28+C$6</f>
        <v>0.17832636022062126</v>
      </c>
      <c r="D28" s="2">
        <f ca="1">D$2*Data!$I28+D$3*Data!$J28+D$4*Data!$K28+D$5*Data!$L28+D$6</f>
        <v>0.25175653762104278</v>
      </c>
      <c r="E28" s="2">
        <f ca="1">EXP(B28)</f>
        <v>1.2361571533033007</v>
      </c>
      <c r="F28" s="2">
        <f ca="1">EXP(C28)</f>
        <v>1.1952153283281817</v>
      </c>
      <c r="G28" s="2">
        <f ca="1">EXP(D28)</f>
        <v>1.2862828376805537</v>
      </c>
      <c r="H28" s="2">
        <f ca="1">SUM(E28:G28)</f>
        <v>3.7176553193120361</v>
      </c>
      <c r="I28" s="2">
        <f ca="1">E28/'1'!$H28</f>
        <v>0.3326598033193105</v>
      </c>
      <c r="J28" s="2">
        <f ca="1">F28/H28</f>
        <v>0.32149707965647556</v>
      </c>
      <c r="K28" s="2">
        <f ca="1">G28/H28</f>
        <v>0.34599303248978563</v>
      </c>
      <c r="L28" s="2">
        <f ca="1">-Data!$M28*LOG(I28)</f>
        <v>0.47799967358649753</v>
      </c>
      <c r="M28" s="2">
        <f ca="1">-Data!$N28*LOG(J28)</f>
        <v>0</v>
      </c>
      <c r="N28" s="2">
        <f ca="1">-Data!$O28*LOG(K28)</f>
        <v>0</v>
      </c>
      <c r="O28" s="2">
        <f ca="1">SUM(L28:N28)</f>
        <v>0.47799967358649753</v>
      </c>
      <c r="P28" s="2"/>
      <c r="Q28" s="2">
        <f ca="1">(I28-'1'!Z28)*'1'!V28</f>
        <v>-4.9891112149842338E-5</v>
      </c>
      <c r="R28" s="2">
        <f>('1'!$I28-Data!$M28)*'1'!W28</f>
        <v>-0.16666666666666663</v>
      </c>
      <c r="S28" s="2">
        <f>('1'!$I28-Data!$M28)*'1'!X28</f>
        <v>-1.8832391713747648E-2</v>
      </c>
      <c r="T28" s="2">
        <f>('1'!$I28-Data!$M28)*'1'!Y28</f>
        <v>-1.8518518518518517E-2</v>
      </c>
      <c r="U28" s="2">
        <f>('1'!$I28-Data!$M28)</f>
        <v>-0.66666666666666663</v>
      </c>
      <c r="V28" s="2">
        <f>('1'!$J28-Data!$N28)*'1'!V28</f>
        <v>2.4691358024691353E-2</v>
      </c>
      <c r="W28" s="2">
        <f>('1'!$J28-Data!$N28)*'1'!W28</f>
        <v>8.3333333333333329E-2</v>
      </c>
      <c r="X28" s="2">
        <f>('1'!$J28-Data!$N28)*'1'!X28</f>
        <v>9.4161958568738258E-3</v>
      </c>
      <c r="Y28" s="2">
        <f>('1'!$J28-Data!$N28)*'1'!Y28</f>
        <v>9.2592592592592605E-3</v>
      </c>
      <c r="Z28" s="2">
        <f>('1'!$J28-Data!$N28)</f>
        <v>0.33333333333333337</v>
      </c>
      <c r="AA28" s="2">
        <f>('1'!$K28-Data!$O28)*'1'!V28</f>
        <v>2.4691358024691353E-2</v>
      </c>
      <c r="AB28" s="2">
        <f>('1'!$K28-Data!$O28)*'1'!W28</f>
        <v>8.3333333333333329E-2</v>
      </c>
      <c r="AC28" s="2">
        <f>('1'!$K28-Data!$O28)*'1'!X28</f>
        <v>9.4161958568738258E-3</v>
      </c>
      <c r="AD28" s="2">
        <f>('1'!$K28-Data!$O28)*'1'!Y28</f>
        <v>9.2592592592592605E-3</v>
      </c>
      <c r="AE28" s="2">
        <f>('1'!$K28-Data!$O28)</f>
        <v>0.33333333333333337</v>
      </c>
    </row>
    <row r="29" spans="2:31" x14ac:dyDescent="0.25">
      <c r="B29" s="2">
        <f ca="1">B$2*Data!$I29+B$3*Data!$J29+B$4*Data!$K29+B$5*Data!$L29+B$6</f>
        <v>0.18226214278452268</v>
      </c>
      <c r="C29" s="2">
        <f ca="1">C$2*Data!$I29+C$3*Data!$J29+C$4*Data!$K29+C$5*Data!$L29+C$6</f>
        <v>0.18048470780681225</v>
      </c>
      <c r="D29" s="2">
        <f ca="1">D$2*Data!$I29+D$3*Data!$J29+D$4*Data!$K29+D$5*Data!$L29+D$6</f>
        <v>0.25201303641431561</v>
      </c>
      <c r="E29" s="2">
        <f ca="1">EXP(B29)</f>
        <v>1.1999287053066545</v>
      </c>
      <c r="F29" s="2">
        <f ca="1">EXP(C29)</f>
        <v>1.1977978043850082</v>
      </c>
      <c r="G29" s="2">
        <f ca="1">EXP(D29)</f>
        <v>1.2866128099931673</v>
      </c>
      <c r="H29" s="2">
        <f ca="1">SUM(E29:G29)</f>
        <v>3.6843393196848302</v>
      </c>
      <c r="I29" s="2">
        <f ca="1">E29/'1'!$H29</f>
        <v>0.32586564703606058</v>
      </c>
      <c r="J29" s="2">
        <f ca="1">F29/H29</f>
        <v>0.32510518181248071</v>
      </c>
      <c r="K29" s="2">
        <f ca="1">G29/H29</f>
        <v>0.34921126920069573</v>
      </c>
      <c r="L29" s="2">
        <f ca="1">-Data!$M29*LOG(I29)</f>
        <v>0.48696142072248844</v>
      </c>
      <c r="M29" s="2">
        <f ca="1">-Data!$N29*LOG(J29)</f>
        <v>0</v>
      </c>
      <c r="N29" s="2">
        <f ca="1">-Data!$O29*LOG(K29)</f>
        <v>0</v>
      </c>
      <c r="O29" s="2">
        <f ca="1">SUM(L29:N29)</f>
        <v>0.48696142072248844</v>
      </c>
      <c r="P29" s="2"/>
      <c r="Q29" s="2">
        <f ca="1">(I29-'1'!Z29)*'1'!V29</f>
        <v>-7.6059767842592688E-4</v>
      </c>
      <c r="R29" s="2">
        <f>('1'!$I29-Data!$M29)*'1'!W29</f>
        <v>-0.12962962962962962</v>
      </c>
      <c r="S29" s="2">
        <f>('1'!$I29-Data!$M29)*'1'!X29</f>
        <v>-2.6365348399246705E-2</v>
      </c>
      <c r="T29" s="2">
        <f>('1'!$I29-Data!$M29)*'1'!Y29</f>
        <v>-9.2592592592592605E-3</v>
      </c>
      <c r="U29" s="2">
        <f>('1'!$I29-Data!$M29)</f>
        <v>-0.66666666666666674</v>
      </c>
      <c r="V29" s="2">
        <f>('1'!$J29-Data!$N29)*'1'!V29</f>
        <v>3.3950617283950622E-2</v>
      </c>
      <c r="W29" s="2">
        <f>('1'!$J29-Data!$N29)*'1'!W29</f>
        <v>6.4814814814814797E-2</v>
      </c>
      <c r="X29" s="2">
        <f>('1'!$J29-Data!$N29)*'1'!X29</f>
        <v>1.3182674199623351E-2</v>
      </c>
      <c r="Y29" s="2">
        <f>('1'!$J29-Data!$N29)*'1'!Y29</f>
        <v>4.6296296296296294E-3</v>
      </c>
      <c r="Z29" s="2">
        <f>('1'!$J29-Data!$N29)</f>
        <v>0.33333333333333331</v>
      </c>
      <c r="AA29" s="2">
        <f>('1'!$K29-Data!$O29)*'1'!V29</f>
        <v>3.3950617283950622E-2</v>
      </c>
      <c r="AB29" s="2">
        <f>('1'!$K29-Data!$O29)*'1'!W29</f>
        <v>6.4814814814814797E-2</v>
      </c>
      <c r="AC29" s="2">
        <f>('1'!$K29-Data!$O29)*'1'!X29</f>
        <v>1.3182674199623351E-2</v>
      </c>
      <c r="AD29" s="2">
        <f>('1'!$K29-Data!$O29)*'1'!Y29</f>
        <v>4.6296296296296294E-3</v>
      </c>
      <c r="AE29" s="2">
        <f>('1'!$K29-Data!$O29)</f>
        <v>0.33333333333333331</v>
      </c>
    </row>
    <row r="30" spans="2:31" x14ac:dyDescent="0.25">
      <c r="B30" s="2">
        <f ca="1">B$2*Data!$I30+B$3*Data!$J30+B$4*Data!$K30+B$5*Data!$L30+B$6</f>
        <v>0.20056073837930349</v>
      </c>
      <c r="C30" s="2">
        <f ca="1">C$2*Data!$I30+C$3*Data!$J30+C$4*Data!$K30+C$5*Data!$L30+C$6</f>
        <v>0.18189696207247308</v>
      </c>
      <c r="D30" s="2">
        <f ca="1">D$2*Data!$I30+D$3*Data!$J30+D$4*Data!$K30+D$5*Data!$L30+D$6</f>
        <v>0.25963269502845021</v>
      </c>
      <c r="E30" s="2">
        <f ca="1">EXP(B30)</f>
        <v>1.2220878376204798</v>
      </c>
      <c r="F30" s="2">
        <f ca="1">EXP(C30)</f>
        <v>1.1994905944873211</v>
      </c>
      <c r="G30" s="2">
        <f ca="1">EXP(D30)</f>
        <v>1.2964538052728034</v>
      </c>
      <c r="H30" s="2">
        <f ca="1">SUM(E30:G30)</f>
        <v>3.7180322373806041</v>
      </c>
      <c r="I30" s="2">
        <f ca="1">E30/'1'!$H30</f>
        <v>0.32887363764015098</v>
      </c>
      <c r="J30" s="2">
        <f ca="1">F30/H30</f>
        <v>0.32261436101274255</v>
      </c>
      <c r="K30" s="2">
        <f ca="1">G30/H30</f>
        <v>0.34869353531645808</v>
      </c>
      <c r="L30" s="2">
        <f ca="1">-Data!$M30*LOG(I30)</f>
        <v>0.48297093796846879</v>
      </c>
      <c r="M30" s="2">
        <f ca="1">-Data!$N30*LOG(J30)</f>
        <v>0</v>
      </c>
      <c r="N30" s="2">
        <f ca="1">-Data!$O30*LOG(K30)</f>
        <v>0</v>
      </c>
      <c r="O30" s="2">
        <f ca="1">SUM(L30:N30)</f>
        <v>0.48297093796846879</v>
      </c>
      <c r="P30" s="2"/>
      <c r="Q30" s="2">
        <f ca="1">(I30-'1'!Z30)*'1'!V30</f>
        <v>-3.3034782912462111E-4</v>
      </c>
      <c r="R30" s="2">
        <f>('1'!$I30-Data!$M30)*'1'!W30</f>
        <v>-0.15740740740740738</v>
      </c>
      <c r="S30" s="2">
        <f>('1'!$I30-Data!$M30)*'1'!X30</f>
        <v>-1.8832391713747648E-2</v>
      </c>
      <c r="T30" s="2">
        <f>('1'!$I30-Data!$M30)*'1'!Y30</f>
        <v>-2.7777777777777783E-2</v>
      </c>
      <c r="U30" s="2">
        <f>('1'!$I30-Data!$M30)</f>
        <v>-0.66666666666666663</v>
      </c>
      <c r="V30" s="2">
        <f>('1'!$J30-Data!$N30)*'1'!V30</f>
        <v>2.4691358024691353E-2</v>
      </c>
      <c r="W30" s="2">
        <f>('1'!$J30-Data!$N30)*'1'!W30</f>
        <v>7.8703703703703706E-2</v>
      </c>
      <c r="X30" s="2">
        <f>('1'!$J30-Data!$N30)*'1'!X30</f>
        <v>9.4161958568738258E-3</v>
      </c>
      <c r="Y30" s="2">
        <f>('1'!$J30-Data!$N30)*'1'!Y30</f>
        <v>1.3888888888888895E-2</v>
      </c>
      <c r="Z30" s="2">
        <f>('1'!$J30-Data!$N30)</f>
        <v>0.33333333333333337</v>
      </c>
      <c r="AA30" s="2">
        <f>('1'!$K30-Data!$O30)*'1'!V30</f>
        <v>2.4691358024691353E-2</v>
      </c>
      <c r="AB30" s="2">
        <f>('1'!$K30-Data!$O30)*'1'!W30</f>
        <v>7.8703703703703706E-2</v>
      </c>
      <c r="AC30" s="2">
        <f>('1'!$K30-Data!$O30)*'1'!X30</f>
        <v>9.4161958568738258E-3</v>
      </c>
      <c r="AD30" s="2">
        <f>('1'!$K30-Data!$O30)*'1'!Y30</f>
        <v>1.3888888888888895E-2</v>
      </c>
      <c r="AE30" s="2">
        <f>('1'!$K30-Data!$O30)</f>
        <v>0.33333333333333337</v>
      </c>
    </row>
    <row r="31" spans="2:31" x14ac:dyDescent="0.25">
      <c r="B31" s="2">
        <f ca="1">B$2*Data!$I31+B$3*Data!$J31+B$4*Data!$K31+B$5*Data!$L31+B$6</f>
        <v>0.21174382716049428</v>
      </c>
      <c r="C31" s="2">
        <f ca="1">C$2*Data!$I31+C$3*Data!$J31+C$4*Data!$K31+C$5*Data!$L31+C$6</f>
        <v>0.14190007716049355</v>
      </c>
      <c r="D31" s="2">
        <f ca="1">D$2*Data!$I31+D$3*Data!$J31+D$4*Data!$K31+D$5*Data!$L31+D$6</f>
        <v>0.18385609567901301</v>
      </c>
      <c r="E31" s="2">
        <f ca="1">EXP(B31)</f>
        <v>1.2358312581220787</v>
      </c>
      <c r="F31" s="2">
        <f ca="1">EXP(C31)</f>
        <v>1.152461485559336</v>
      </c>
      <c r="G31" s="2">
        <f ca="1">EXP(D31)</f>
        <v>1.2018428602708107</v>
      </c>
      <c r="H31" s="2">
        <f ca="1">SUM(E31:G31)</f>
        <v>3.5901356039522256</v>
      </c>
      <c r="I31" s="2">
        <f ca="1">E31/'1'!$H31</f>
        <v>0.34437120187486525</v>
      </c>
      <c r="J31" s="2">
        <f ca="1">F31/H31</f>
        <v>0.32100778708487804</v>
      </c>
      <c r="K31" s="2">
        <f ca="1">G31/H31</f>
        <v>0.33476252511123916</v>
      </c>
      <c r="L31" s="2">
        <f ca="1">-Data!$M31*LOG(I31)</f>
        <v>0.46297317368111657</v>
      </c>
      <c r="M31" s="2">
        <f ca="1">-Data!$N31*LOG(J31)</f>
        <v>0</v>
      </c>
      <c r="N31" s="2">
        <f ca="1">-Data!$O31*LOG(K31)</f>
        <v>0</v>
      </c>
      <c r="O31" s="2">
        <f ca="1">SUM(L31:N31)</f>
        <v>0.46297317368111657</v>
      </c>
      <c r="P31" s="2"/>
      <c r="Q31" s="2">
        <f ca="1">(I31-'1'!Z31)*'1'!V31</f>
        <v>3.0660745948699801E-4</v>
      </c>
      <c r="R31" s="2">
        <f>('1'!$I31-Data!$M31)*'1'!W31</f>
        <v>-0.14814814814814817</v>
      </c>
      <c r="S31" s="2">
        <f>('1'!$I31-Data!$M31)*'1'!X31</f>
        <v>0</v>
      </c>
      <c r="T31" s="2">
        <f>('1'!$I31-Data!$M31)*'1'!Y31</f>
        <v>-9.2592592592592605E-3</v>
      </c>
      <c r="U31" s="2">
        <f>('1'!$I31-Data!$M31)</f>
        <v>-0.66666666666666674</v>
      </c>
      <c r="V31" s="2">
        <f>('1'!$J31-Data!$N31)*'1'!V31</f>
        <v>9.2592592592592518E-3</v>
      </c>
      <c r="W31" s="2">
        <f>('1'!$J31-Data!$N31)*'1'!W31</f>
        <v>7.407407407407407E-2</v>
      </c>
      <c r="X31" s="2">
        <f>('1'!$J31-Data!$N31)*'1'!X31</f>
        <v>0</v>
      </c>
      <c r="Y31" s="2">
        <f>('1'!$J31-Data!$N31)*'1'!Y31</f>
        <v>4.6296296296296294E-3</v>
      </c>
      <c r="Z31" s="2">
        <f>('1'!$J31-Data!$N31)</f>
        <v>0.33333333333333331</v>
      </c>
      <c r="AA31" s="2">
        <f>('1'!$K31-Data!$O31)*'1'!V31</f>
        <v>9.2592592592592518E-3</v>
      </c>
      <c r="AB31" s="2">
        <f>('1'!$K31-Data!$O31)*'1'!W31</f>
        <v>7.407407407407407E-2</v>
      </c>
      <c r="AC31" s="2">
        <f>('1'!$K31-Data!$O31)*'1'!X31</f>
        <v>0</v>
      </c>
      <c r="AD31" s="2">
        <f>('1'!$K31-Data!$O31)*'1'!Y31</f>
        <v>4.6296296296296294E-3</v>
      </c>
      <c r="AE31" s="2">
        <f>('1'!$K31-Data!$O31)</f>
        <v>0.33333333333333331</v>
      </c>
    </row>
    <row r="32" spans="2:31" x14ac:dyDescent="0.25">
      <c r="B32" s="2">
        <f ca="1">B$2*Data!$I32+B$3*Data!$J32+B$4*Data!$K32+B$5*Data!$L32+B$6</f>
        <v>0.16393266747588067</v>
      </c>
      <c r="C32" s="2">
        <f ca="1">C$2*Data!$I32+C$3*Data!$J32+C$4*Data!$K32+C$5*Data!$L32+C$6</f>
        <v>0.1851934269426147</v>
      </c>
      <c r="D32" s="2">
        <f ca="1">D$2*Data!$I32+D$3*Data!$J32+D$4*Data!$K32+D$5*Data!$L32+D$6</f>
        <v>0.26563379258715514</v>
      </c>
      <c r="E32" s="2">
        <f ca="1">EXP(B32)</f>
        <v>1.1781349856196903</v>
      </c>
      <c r="F32" s="2">
        <f ca="1">EXP(C32)</f>
        <v>1.2034511975019149</v>
      </c>
      <c r="G32" s="2">
        <f ca="1">EXP(D32)</f>
        <v>1.3042573425135788</v>
      </c>
      <c r="H32" s="2">
        <f ca="1">SUM(E32:G32)</f>
        <v>3.6858435256351845</v>
      </c>
      <c r="I32" s="2">
        <f ca="1">E32/'1'!$H32</f>
        <v>0.31994710826312561</v>
      </c>
      <c r="J32" s="2">
        <f ca="1">F32/H32</f>
        <v>0.32650631778909367</v>
      </c>
      <c r="K32" s="2">
        <f ca="1">G32/H32</f>
        <v>0.35385586323521834</v>
      </c>
      <c r="L32" s="2">
        <f ca="1">-Data!$M32*LOG(I32)</f>
        <v>0.49492181070521352</v>
      </c>
      <c r="M32" s="2">
        <f ca="1">-Data!$N32*LOG(J32)</f>
        <v>0</v>
      </c>
      <c r="N32" s="2">
        <f ca="1">-Data!$O32*LOG(K32)</f>
        <v>0</v>
      </c>
      <c r="O32" s="2">
        <f ca="1">SUM(L32:N32)</f>
        <v>0.49492181070521352</v>
      </c>
      <c r="P32" s="2"/>
      <c r="Q32" s="2">
        <f ca="1">(I32-'1'!Z32)*'1'!V32</f>
        <v>-9.9157222742279243E-4</v>
      </c>
      <c r="R32" s="2">
        <f>('1'!$I32-Data!$M32)*'1'!W32</f>
        <v>-0.12037037037037035</v>
      </c>
      <c r="S32" s="2">
        <f>('1'!$I32-Data!$M32)*'1'!X32</f>
        <v>-2.6365348399246705E-2</v>
      </c>
      <c r="T32" s="2">
        <f>('1'!$I32-Data!$M32)*'1'!Y32</f>
        <v>-3.7037037037037042E-2</v>
      </c>
      <c r="U32" s="2">
        <f>('1'!$I32-Data!$M32)</f>
        <v>-0.66666666666666674</v>
      </c>
      <c r="V32" s="2">
        <f>('1'!$J32-Data!$N32)*'1'!V32</f>
        <v>2.4691358024691346E-2</v>
      </c>
      <c r="W32" s="2">
        <f>('1'!$J32-Data!$N32)*'1'!W32</f>
        <v>6.0185185185185161E-2</v>
      </c>
      <c r="X32" s="2">
        <f>('1'!$J32-Data!$N32)*'1'!X32</f>
        <v>1.3182674199623351E-2</v>
      </c>
      <c r="Y32" s="2">
        <f>('1'!$J32-Data!$N32)*'1'!Y32</f>
        <v>1.8518518518518517E-2</v>
      </c>
      <c r="Z32" s="2">
        <f>('1'!$J32-Data!$N32)</f>
        <v>0.33333333333333331</v>
      </c>
      <c r="AA32" s="2">
        <f>('1'!$K32-Data!$O32)*'1'!V32</f>
        <v>2.4691358024691346E-2</v>
      </c>
      <c r="AB32" s="2">
        <f>('1'!$K32-Data!$O32)*'1'!W32</f>
        <v>6.0185185185185161E-2</v>
      </c>
      <c r="AC32" s="2">
        <f>('1'!$K32-Data!$O32)*'1'!X32</f>
        <v>1.3182674199623351E-2</v>
      </c>
      <c r="AD32" s="2">
        <f>('1'!$K32-Data!$O32)*'1'!Y32</f>
        <v>1.8518518518518517E-2</v>
      </c>
      <c r="AE32" s="2">
        <f>('1'!$K32-Data!$O32)</f>
        <v>0.33333333333333331</v>
      </c>
    </row>
    <row r="33" spans="2:31" x14ac:dyDescent="0.25">
      <c r="B33" s="2">
        <f ca="1">B$2*Data!$I33+B$3*Data!$J33+B$4*Data!$K33+B$5*Data!$L33+B$6</f>
        <v>0.18177604718974183</v>
      </c>
      <c r="C33" s="2">
        <f ca="1">C$2*Data!$I33+C$3*Data!$J33+C$4*Data!$K33+C$5*Data!$L33+C$6</f>
        <v>0.16650300909670696</v>
      </c>
      <c r="D33" s="2">
        <f ca="1">D$2*Data!$I33+D$3*Data!$J33+D$4*Data!$K33+D$5*Data!$L33+D$6</f>
        <v>0.22665032224462547</v>
      </c>
      <c r="E33" s="2">
        <f ca="1">EXP(B33)</f>
        <v>1.1993455669909194</v>
      </c>
      <c r="F33" s="2">
        <f ca="1">EXP(C33)</f>
        <v>1.1811670901110274</v>
      </c>
      <c r="G33" s="2">
        <f ca="1">EXP(D33)</f>
        <v>1.2543911585566077</v>
      </c>
      <c r="H33" s="2">
        <f ca="1">SUM(E33:G33)</f>
        <v>3.6349038156585545</v>
      </c>
      <c r="I33" s="2">
        <f ca="1">E33/'1'!$H33</f>
        <v>0.33006048030739871</v>
      </c>
      <c r="J33" s="2">
        <f ca="1">F33/H33</f>
        <v>0.32495140174624654</v>
      </c>
      <c r="K33" s="2">
        <f ca="1">G33/H33</f>
        <v>0.34509610767495452</v>
      </c>
      <c r="L33" s="2">
        <f ca="1">-Data!$M33*LOG(I33)</f>
        <v>0.48140647267634284</v>
      </c>
      <c r="M33" s="2">
        <f ca="1">-Data!$N33*LOG(J33)</f>
        <v>0</v>
      </c>
      <c r="N33" s="2">
        <f ca="1">-Data!$O33*LOG(K33)</f>
        <v>0</v>
      </c>
      <c r="O33" s="2">
        <f ca="1">SUM(L33:N33)</f>
        <v>0.48140647267634284</v>
      </c>
      <c r="P33" s="2"/>
      <c r="Q33" s="2">
        <f ca="1">(I33-'1'!Z33)*'1'!V33</f>
        <v>-1.5152097342289848E-4</v>
      </c>
      <c r="R33" s="2">
        <f>('1'!$I33-Data!$M33)*'1'!W33</f>
        <v>-0.12962962962962962</v>
      </c>
      <c r="S33" s="2">
        <f>('1'!$I33-Data!$M33)*'1'!X33</f>
        <v>-3.3898305084745763E-2</v>
      </c>
      <c r="T33" s="2">
        <f>('1'!$I33-Data!$M33)*'1'!Y33</f>
        <v>-9.2592592592592605E-3</v>
      </c>
      <c r="U33" s="2">
        <f>('1'!$I33-Data!$M33)</f>
        <v>-0.66666666666666674</v>
      </c>
      <c r="V33" s="2">
        <f>('1'!$J33-Data!$N33)*'1'!V33</f>
        <v>1.5432098765432094E-2</v>
      </c>
      <c r="W33" s="2">
        <f>('1'!$J33-Data!$N33)*'1'!W33</f>
        <v>6.4814814814814797E-2</v>
      </c>
      <c r="X33" s="2">
        <f>('1'!$J33-Data!$N33)*'1'!X33</f>
        <v>1.6949152542372878E-2</v>
      </c>
      <c r="Y33" s="2">
        <f>('1'!$J33-Data!$N33)*'1'!Y33</f>
        <v>4.6296296296296294E-3</v>
      </c>
      <c r="Z33" s="2">
        <f>('1'!$J33-Data!$N33)</f>
        <v>0.33333333333333331</v>
      </c>
      <c r="AA33" s="2">
        <f>('1'!$K33-Data!$O33)*'1'!V33</f>
        <v>1.5432098765432094E-2</v>
      </c>
      <c r="AB33" s="2">
        <f>('1'!$K33-Data!$O33)*'1'!W33</f>
        <v>6.4814814814814797E-2</v>
      </c>
      <c r="AC33" s="2">
        <f>('1'!$K33-Data!$O33)*'1'!X33</f>
        <v>1.6949152542372878E-2</v>
      </c>
      <c r="AD33" s="2">
        <f>('1'!$K33-Data!$O33)*'1'!Y33</f>
        <v>4.6296296296296294E-3</v>
      </c>
      <c r="AE33" s="2">
        <f>('1'!$K33-Data!$O33)</f>
        <v>0.33333333333333331</v>
      </c>
    </row>
    <row r="34" spans="2:31" x14ac:dyDescent="0.25">
      <c r="B34" s="2">
        <f ca="1">B$2*Data!$I34+B$3*Data!$J34+B$4*Data!$K34+B$5*Data!$L34+B$6</f>
        <v>0.15636835930619294</v>
      </c>
      <c r="C34" s="2">
        <f ca="1">C$2*Data!$I34+C$3*Data!$J34+C$4*Data!$K34+C$5*Data!$L34+C$6</f>
        <v>0.15872298514540401</v>
      </c>
      <c r="D34" s="2">
        <f ca="1">D$2*Data!$I34+D$3*Data!$J34+D$4*Data!$K34+D$5*Data!$L34+D$6</f>
        <v>0.21125046345800844</v>
      </c>
      <c r="E34" s="2">
        <f ca="1">EXP(B34)</f>
        <v>1.1692568304070201</v>
      </c>
      <c r="F34" s="2">
        <f ca="1">EXP(C34)</f>
        <v>1.1720132366317104</v>
      </c>
      <c r="G34" s="2">
        <f ca="1">EXP(D34)</f>
        <v>1.2352216942176406</v>
      </c>
      <c r="H34" s="2">
        <f ca="1">SUM(E34:G34)</f>
        <v>3.5764917612563716</v>
      </c>
      <c r="I34" s="2">
        <f ca="1">E34/'1'!$H34</f>
        <v>0.32703398014566132</v>
      </c>
      <c r="J34" s="2">
        <f ca="1">F34/H34</f>
        <v>0.32769912944521884</v>
      </c>
      <c r="K34" s="2">
        <f ca="1">G34/H34</f>
        <v>0.34537244223476821</v>
      </c>
      <c r="L34" s="2">
        <f ca="1">-Data!$M34*LOG(I34)</f>
        <v>0.48540712005209202</v>
      </c>
      <c r="M34" s="2">
        <f ca="1">-Data!$N34*LOG(J34)</f>
        <v>0</v>
      </c>
      <c r="N34" s="2">
        <f ca="1">-Data!$O34*LOG(K34)</f>
        <v>0</v>
      </c>
      <c r="O34" s="2">
        <f ca="1">SUM(L34:N34)</f>
        <v>0.48540712005209202</v>
      </c>
      <c r="P34" s="2"/>
      <c r="Q34" s="2">
        <f ca="1">(I34-'1'!Z34)*'1'!V34</f>
        <v>-4.0829141031207758E-4</v>
      </c>
      <c r="R34" s="2">
        <f>('1'!$I34-Data!$M34)*'1'!W34</f>
        <v>-9.2592592592592587E-2</v>
      </c>
      <c r="S34" s="2">
        <f>('1'!$I34-Data!$M34)*'1'!X34</f>
        <v>-2.2598870056497179E-2</v>
      </c>
      <c r="T34" s="2">
        <f>('1'!$I34-Data!$M34)*'1'!Y34</f>
        <v>-9.2592592592592605E-3</v>
      </c>
      <c r="U34" s="2">
        <f>('1'!$I34-Data!$M34)</f>
        <v>-0.66666666666666663</v>
      </c>
      <c r="V34" s="2">
        <f>('1'!$J34-Data!$N34)*'1'!V34</f>
        <v>2.1604938271604947E-2</v>
      </c>
      <c r="W34" s="2">
        <f>('1'!$J34-Data!$N34)*'1'!W34</f>
        <v>4.6296296296296301E-2</v>
      </c>
      <c r="X34" s="2">
        <f>('1'!$J34-Data!$N34)*'1'!X34</f>
        <v>1.1299435028248591E-2</v>
      </c>
      <c r="Y34" s="2">
        <f>('1'!$J34-Data!$N34)*'1'!Y34</f>
        <v>4.6296296296296311E-3</v>
      </c>
      <c r="Z34" s="2">
        <f>('1'!$J34-Data!$N34)</f>
        <v>0.33333333333333337</v>
      </c>
      <c r="AA34" s="2">
        <f>('1'!$K34-Data!$O34)*'1'!V34</f>
        <v>2.1604938271604947E-2</v>
      </c>
      <c r="AB34" s="2">
        <f>('1'!$K34-Data!$O34)*'1'!W34</f>
        <v>4.6296296296296301E-2</v>
      </c>
      <c r="AC34" s="2">
        <f>('1'!$K34-Data!$O34)*'1'!X34</f>
        <v>1.1299435028248591E-2</v>
      </c>
      <c r="AD34" s="2">
        <f>('1'!$K34-Data!$O34)*'1'!Y34</f>
        <v>4.6296296296296311E-3</v>
      </c>
      <c r="AE34" s="2">
        <f>('1'!$K34-Data!$O34)</f>
        <v>0.33333333333333337</v>
      </c>
    </row>
    <row r="35" spans="2:31" x14ac:dyDescent="0.25">
      <c r="B35" s="2">
        <f ca="1">B$2*Data!$I35+B$3*Data!$J35+B$4*Data!$K35+B$5*Data!$L35+B$6</f>
        <v>0.17743317412100773</v>
      </c>
      <c r="C35" s="2">
        <f ca="1">C$2*Data!$I35+C$3*Data!$J35+C$4*Data!$K35+C$5*Data!$L35+C$6</f>
        <v>0.17607252218244104</v>
      </c>
      <c r="D35" s="2">
        <f ca="1">D$2*Data!$I35+D$3*Data!$J35+D$4*Data!$K35+D$5*Data!$L35+D$6</f>
        <v>0.24783611160615659</v>
      </c>
      <c r="E35" s="2">
        <f ca="1">EXP(B35)</f>
        <v>1.1941482552292444</v>
      </c>
      <c r="F35" s="2">
        <f ca="1">EXP(C35)</f>
        <v>1.1925245399969786</v>
      </c>
      <c r="G35" s="2">
        <f ca="1">EXP(D35)</f>
        <v>1.2812499329926452</v>
      </c>
      <c r="H35" s="2">
        <f ca="1">SUM(E35:G35)</f>
        <v>3.6679227282188682</v>
      </c>
      <c r="I35" s="2">
        <f ca="1">E35/'1'!$H35</f>
        <v>0.325749569725865</v>
      </c>
      <c r="J35" s="2">
        <f ca="1">F35/H35</f>
        <v>0.3251225907302755</v>
      </c>
      <c r="K35" s="2">
        <f ca="1">G35/H35</f>
        <v>0.34931213875784567</v>
      </c>
      <c r="L35" s="2">
        <f ca="1">-Data!$M35*LOG(I35)</f>
        <v>0.48711614926328545</v>
      </c>
      <c r="M35" s="2">
        <f ca="1">-Data!$N35*LOG(J35)</f>
        <v>0</v>
      </c>
      <c r="N35" s="2">
        <f ca="1">-Data!$O35*LOG(K35)</f>
        <v>0</v>
      </c>
      <c r="O35" s="2">
        <f ca="1">SUM(L35:N35)</f>
        <v>0.48711614926328545</v>
      </c>
      <c r="P35" s="2"/>
      <c r="Q35" s="2">
        <f ca="1">(I35-'1'!Z35)*'1'!V35</f>
        <v>-4.9154023381739118E-4</v>
      </c>
      <c r="R35" s="2">
        <f>('1'!$I35-Data!$M35)*'1'!W35</f>
        <v>-0.12962962962962962</v>
      </c>
      <c r="S35" s="2">
        <f>('1'!$I35-Data!$M35)*'1'!X35</f>
        <v>-2.2598870056497179E-2</v>
      </c>
      <c r="T35" s="2">
        <f>('1'!$I35-Data!$M35)*'1'!Y35</f>
        <v>-2.7777777777777783E-2</v>
      </c>
      <c r="U35" s="2">
        <f>('1'!$I35-Data!$M35)</f>
        <v>-0.66666666666666674</v>
      </c>
      <c r="V35" s="2">
        <f>('1'!$J35-Data!$N35)*'1'!V35</f>
        <v>2.1604938271604941E-2</v>
      </c>
      <c r="W35" s="2">
        <f>('1'!$J35-Data!$N35)*'1'!W35</f>
        <v>6.4814814814814797E-2</v>
      </c>
      <c r="X35" s="2">
        <f>('1'!$J35-Data!$N35)*'1'!X35</f>
        <v>1.1299435028248588E-2</v>
      </c>
      <c r="Y35" s="2">
        <f>('1'!$J35-Data!$N35)*'1'!Y35</f>
        <v>1.388888888888889E-2</v>
      </c>
      <c r="Z35" s="2">
        <f>('1'!$J35-Data!$N35)</f>
        <v>0.33333333333333331</v>
      </c>
      <c r="AA35" s="2">
        <f>('1'!$K35-Data!$O35)*'1'!V35</f>
        <v>2.1604938271604941E-2</v>
      </c>
      <c r="AB35" s="2">
        <f>('1'!$K35-Data!$O35)*'1'!W35</f>
        <v>6.4814814814814797E-2</v>
      </c>
      <c r="AC35" s="2">
        <f>('1'!$K35-Data!$O35)*'1'!X35</f>
        <v>1.1299435028248588E-2</v>
      </c>
      <c r="AD35" s="2">
        <f>('1'!$K35-Data!$O35)*'1'!Y35</f>
        <v>1.388888888888889E-2</v>
      </c>
      <c r="AE35" s="2">
        <f>('1'!$K35-Data!$O35)</f>
        <v>0.33333333333333331</v>
      </c>
    </row>
    <row r="36" spans="2:31" x14ac:dyDescent="0.25">
      <c r="B36" s="2">
        <f ca="1">B$2*Data!$I36+B$3*Data!$J36+B$4*Data!$K36+B$5*Data!$L36+B$6</f>
        <v>0.19369602644514713</v>
      </c>
      <c r="C36" s="2">
        <f ca="1">C$2*Data!$I36+C$3*Data!$J36+C$4*Data!$K36+C$5*Data!$L36+C$6</f>
        <v>0.17108549087905747</v>
      </c>
      <c r="D36" s="2">
        <f ca="1">D$2*Data!$I36+D$3*Data!$J36+D$4*Data!$K36+D$5*Data!$L36+D$6</f>
        <v>0.23564221148935557</v>
      </c>
      <c r="E36" s="2">
        <f ca="1">EXP(B36)</f>
        <v>1.2137272858786872</v>
      </c>
      <c r="F36" s="2">
        <f ca="1">EXP(C36)</f>
        <v>1.1865921874948095</v>
      </c>
      <c r="G36" s="2">
        <f ca="1">EXP(D36)</f>
        <v>1.2657213685797088</v>
      </c>
      <c r="H36" s="2">
        <f ca="1">SUM(E36:G36)</f>
        <v>3.6660408419532056</v>
      </c>
      <c r="I36" s="2">
        <f ca="1">E36/'1'!$H36</f>
        <v>0.33119183645455458</v>
      </c>
      <c r="J36" s="2">
        <f ca="1">F36/H36</f>
        <v>0.32367129517919202</v>
      </c>
      <c r="K36" s="2">
        <f ca="1">G36/H36</f>
        <v>0.34525566493835175</v>
      </c>
      <c r="L36" s="2">
        <f ca="1">-Data!$M36*LOG(I36)</f>
        <v>0.47992037667711646</v>
      </c>
      <c r="M36" s="2">
        <f ca="1">-Data!$N36*LOG(J36)</f>
        <v>0</v>
      </c>
      <c r="N36" s="2">
        <f ca="1">-Data!$O36*LOG(K36)</f>
        <v>0</v>
      </c>
      <c r="O36" s="2">
        <f ca="1">SUM(L36:N36)</f>
        <v>0.47992037667711646</v>
      </c>
      <c r="P36" s="2"/>
      <c r="Q36" s="2">
        <f ca="1">(I36-'1'!Z36)*'1'!V36</f>
        <v>-1.7845807323156609E-4</v>
      </c>
      <c r="R36" s="2">
        <f>('1'!$I36-Data!$M36)*'1'!W36</f>
        <v>-0.13888888888888887</v>
      </c>
      <c r="S36" s="2">
        <f>('1'!$I36-Data!$M36)*'1'!X36</f>
        <v>-1.8832391713747648E-2</v>
      </c>
      <c r="T36" s="2">
        <f>('1'!$I36-Data!$M36)*'1'!Y36</f>
        <v>-9.2592592592592605E-3</v>
      </c>
      <c r="U36" s="2">
        <f>('1'!$I36-Data!$M36)</f>
        <v>-0.66666666666666663</v>
      </c>
      <c r="V36" s="2">
        <f>('1'!$J36-Data!$N36)*'1'!V36</f>
        <v>2.777777777777779E-2</v>
      </c>
      <c r="W36" s="2">
        <f>('1'!$J36-Data!$N36)*'1'!W36</f>
        <v>6.9444444444444448E-2</v>
      </c>
      <c r="X36" s="2">
        <f>('1'!$J36-Data!$N36)*'1'!X36</f>
        <v>9.4161958568738258E-3</v>
      </c>
      <c r="Y36" s="2">
        <f>('1'!$J36-Data!$N36)*'1'!Y36</f>
        <v>4.6296296296296311E-3</v>
      </c>
      <c r="Z36" s="2">
        <f>('1'!$J36-Data!$N36)</f>
        <v>0.33333333333333337</v>
      </c>
      <c r="AA36" s="2">
        <f>('1'!$K36-Data!$O36)*'1'!V36</f>
        <v>2.777777777777779E-2</v>
      </c>
      <c r="AB36" s="2">
        <f>('1'!$K36-Data!$O36)*'1'!W36</f>
        <v>6.9444444444444448E-2</v>
      </c>
      <c r="AC36" s="2">
        <f>('1'!$K36-Data!$O36)*'1'!X36</f>
        <v>9.4161958568738258E-3</v>
      </c>
      <c r="AD36" s="2">
        <f>('1'!$K36-Data!$O36)*'1'!Y36</f>
        <v>4.6296296296296311E-3</v>
      </c>
      <c r="AE36" s="2">
        <f>('1'!$K36-Data!$O36)</f>
        <v>0.33333333333333337</v>
      </c>
    </row>
    <row r="37" spans="2:31" x14ac:dyDescent="0.25">
      <c r="B37" s="2">
        <f ca="1">B$2*Data!$I37+B$3*Data!$J37+B$4*Data!$K37+B$5*Data!$L37+B$6</f>
        <v>0.18797071004500671</v>
      </c>
      <c r="C37" s="2">
        <f ca="1">C$2*Data!$I37+C$3*Data!$J37+C$4*Data!$K37+C$5*Data!$L37+C$6</f>
        <v>0.16696908714769038</v>
      </c>
      <c r="D37" s="2">
        <f ca="1">D$2*Data!$I37+D$3*Data!$J37+D$4*Data!$K37+D$5*Data!$L37+D$6</f>
        <v>0.22789918585815125</v>
      </c>
      <c r="E37" s="2">
        <f ca="1">EXP(B37)</f>
        <v>1.2067981677679234</v>
      </c>
      <c r="F37" s="2">
        <f ca="1">EXP(C37)</f>
        <v>1.1817177344779308</v>
      </c>
      <c r="G37" s="2">
        <f ca="1">EXP(D37)</f>
        <v>1.2559587006510635</v>
      </c>
      <c r="H37" s="2">
        <f ca="1">SUM(E37:G37)</f>
        <v>3.6444746028969175</v>
      </c>
      <c r="I37" s="2">
        <f ca="1">E37/'1'!$H37</f>
        <v>0.33123696955759474</v>
      </c>
      <c r="J37" s="2">
        <f ca="1">F37/H37</f>
        <v>0.32424913416562373</v>
      </c>
      <c r="K37" s="2">
        <f ca="1">G37/H37</f>
        <v>0.34461996240904735</v>
      </c>
      <c r="L37" s="2">
        <f ca="1">-Data!$M37*LOG(I37)</f>
        <v>0.47986119731337518</v>
      </c>
      <c r="M37" s="2">
        <f ca="1">-Data!$N37*LOG(J37)</f>
        <v>0</v>
      </c>
      <c r="N37" s="2">
        <f ca="1">-Data!$O37*LOG(K37)</f>
        <v>0</v>
      </c>
      <c r="O37" s="2">
        <f ca="1">SUM(L37:N37)</f>
        <v>0.47986119731337518</v>
      </c>
      <c r="P37" s="2"/>
      <c r="Q37" s="2">
        <f ca="1">(I37-'1'!Z37)*'1'!V37</f>
        <v>-1.746969813115479E-4</v>
      </c>
      <c r="R37" s="2">
        <f>('1'!$I37-Data!$M37)*'1'!W37</f>
        <v>-0.12962962962962962</v>
      </c>
      <c r="S37" s="2">
        <f>('1'!$I37-Data!$M37)*'1'!X37</f>
        <v>-1.5065913370998114E-2</v>
      </c>
      <c r="T37" s="2">
        <f>('1'!$I37-Data!$M37)*'1'!Y37</f>
        <v>-9.2592592592592605E-3</v>
      </c>
      <c r="U37" s="2">
        <f>('1'!$I37-Data!$M37)</f>
        <v>-0.66666666666666674</v>
      </c>
      <c r="V37" s="2">
        <f>('1'!$J37-Data!$N37)*'1'!V37</f>
        <v>2.777777777777778E-2</v>
      </c>
      <c r="W37" s="2">
        <f>('1'!$J37-Data!$N37)*'1'!W37</f>
        <v>6.4814814814814797E-2</v>
      </c>
      <c r="X37" s="2">
        <f>('1'!$J37-Data!$N37)*'1'!X37</f>
        <v>7.5329566854990555E-3</v>
      </c>
      <c r="Y37" s="2">
        <f>('1'!$J37-Data!$N37)*'1'!Y37</f>
        <v>4.6296296296296294E-3</v>
      </c>
      <c r="Z37" s="2">
        <f>('1'!$J37-Data!$N37)</f>
        <v>0.33333333333333331</v>
      </c>
      <c r="AA37" s="2">
        <f>('1'!$K37-Data!$O37)*'1'!V37</f>
        <v>2.777777777777778E-2</v>
      </c>
      <c r="AB37" s="2">
        <f>('1'!$K37-Data!$O37)*'1'!W37</f>
        <v>6.4814814814814797E-2</v>
      </c>
      <c r="AC37" s="2">
        <f>('1'!$K37-Data!$O37)*'1'!X37</f>
        <v>7.5329566854990555E-3</v>
      </c>
      <c r="AD37" s="2">
        <f>('1'!$K37-Data!$O37)*'1'!Y37</f>
        <v>4.6296296296296294E-3</v>
      </c>
      <c r="AE37" s="2">
        <f>('1'!$K37-Data!$O37)</f>
        <v>0.33333333333333331</v>
      </c>
    </row>
    <row r="38" spans="2:31" x14ac:dyDescent="0.25">
      <c r="B38" s="2">
        <f ca="1">B$2*Data!$I38+B$3*Data!$J38+B$4*Data!$K38+B$5*Data!$L38+B$6</f>
        <v>0.17237916177532875</v>
      </c>
      <c r="C38" s="2">
        <f ca="1">C$2*Data!$I38+C$3*Data!$J38+C$4*Data!$K38+C$5*Data!$L38+C$6</f>
        <v>0.15271989872565092</v>
      </c>
      <c r="D38" s="2">
        <f ca="1">D$2*Data!$I38+D$3*Data!$J38+D$4*Data!$K38+D$5*Data!$L38+D$6</f>
        <v>0.20124274740862574</v>
      </c>
      <c r="E38" s="2">
        <f ca="1">EXP(B38)</f>
        <v>1.1881282406329081</v>
      </c>
      <c r="F38" s="2">
        <f ca="1">EXP(C38)</f>
        <v>1.1649986156406273</v>
      </c>
      <c r="G38" s="2">
        <f ca="1">EXP(D38)</f>
        <v>1.2229215968437035</v>
      </c>
      <c r="H38" s="2">
        <f ca="1">SUM(E38:G38)</f>
        <v>3.576048453117239</v>
      </c>
      <c r="I38" s="2">
        <f ca="1">E38/'1'!$H38</f>
        <v>0.33231219810140794</v>
      </c>
      <c r="J38" s="2">
        <f ca="1">F38/H38</f>
        <v>0.32577819649649847</v>
      </c>
      <c r="K38" s="2">
        <f ca="1">G38/H38</f>
        <v>0.34197567870694917</v>
      </c>
      <c r="L38" s="2">
        <f ca="1">-Data!$M38*LOG(I38)</f>
        <v>0.47845371688890342</v>
      </c>
      <c r="M38" s="2">
        <f ca="1">-Data!$N38*LOG(J38)</f>
        <v>0</v>
      </c>
      <c r="N38" s="2">
        <f ca="1">-Data!$O38*LOG(K38)</f>
        <v>0</v>
      </c>
      <c r="O38" s="2">
        <f ca="1">SUM(L38:N38)</f>
        <v>0.47845371688890342</v>
      </c>
      <c r="P38" s="2"/>
      <c r="Q38" s="2">
        <f ca="1">(I38-'1'!Z38)*'1'!V38</f>
        <v>-3.7819823404645579E-5</v>
      </c>
      <c r="R38" s="2">
        <f>('1'!$I38-Data!$M38)*'1'!W38</f>
        <v>-0.11111111111111112</v>
      </c>
      <c r="S38" s="2">
        <f>('1'!$I38-Data!$M38)*'1'!X38</f>
        <v>-2.2598870056497179E-2</v>
      </c>
      <c r="T38" s="2">
        <f>('1'!$I38-Data!$M38)*'1'!Y38</f>
        <v>-9.2592592592592605E-3</v>
      </c>
      <c r="U38" s="2">
        <f>('1'!$I38-Data!$M38)</f>
        <v>-0.66666666666666663</v>
      </c>
      <c r="V38" s="2">
        <f>('1'!$J38-Data!$N38)*'1'!V38</f>
        <v>1.234567901234569E-2</v>
      </c>
      <c r="W38" s="2">
        <f>('1'!$J38-Data!$N38)*'1'!W38</f>
        <v>5.5555555555555566E-2</v>
      </c>
      <c r="X38" s="2">
        <f>('1'!$J38-Data!$N38)*'1'!X38</f>
        <v>1.1299435028248591E-2</v>
      </c>
      <c r="Y38" s="2">
        <f>('1'!$J38-Data!$N38)*'1'!Y38</f>
        <v>4.6296296296296311E-3</v>
      </c>
      <c r="Z38" s="2">
        <f>('1'!$J38-Data!$N38)</f>
        <v>0.33333333333333337</v>
      </c>
      <c r="AA38" s="2">
        <f>('1'!$K38-Data!$O38)*'1'!V38</f>
        <v>1.234567901234569E-2</v>
      </c>
      <c r="AB38" s="2">
        <f>('1'!$K38-Data!$O38)*'1'!W38</f>
        <v>5.5555555555555566E-2</v>
      </c>
      <c r="AC38" s="2">
        <f>('1'!$K38-Data!$O38)*'1'!X38</f>
        <v>1.1299435028248591E-2</v>
      </c>
      <c r="AD38" s="2">
        <f>('1'!$K38-Data!$O38)*'1'!Y38</f>
        <v>4.6296296296296311E-3</v>
      </c>
      <c r="AE38" s="2">
        <f>('1'!$K38-Data!$O38)</f>
        <v>0.33333333333333337</v>
      </c>
    </row>
    <row r="39" spans="2:31" x14ac:dyDescent="0.25">
      <c r="B39" s="2">
        <f ca="1">B$2*Data!$I39+B$3*Data!$J39+B$4*Data!$K39+B$5*Data!$L39+B$6</f>
        <v>0.16460009798932052</v>
      </c>
      <c r="C39" s="2">
        <f ca="1">C$2*Data!$I39+C$3*Data!$J39+C$4*Data!$K39+C$5*Data!$L39+C$6</f>
        <v>0.15415379790260564</v>
      </c>
      <c r="D39" s="2">
        <f ca="1">D$2*Data!$I39+D$3*Data!$J39+D$4*Data!$K39+D$5*Data!$L39+D$6</f>
        <v>0.20342124535101253</v>
      </c>
      <c r="E39" s="2">
        <f ca="1">EXP(B39)</f>
        <v>1.1789215713244947</v>
      </c>
      <c r="F39" s="2">
        <f ca="1">EXP(C39)</f>
        <v>1.16667030442691</v>
      </c>
      <c r="G39" s="2">
        <f ca="1">EXP(D39)</f>
        <v>1.2255886330377783</v>
      </c>
      <c r="H39" s="2">
        <f ca="1">SUM(E39:G39)</f>
        <v>3.5711805087891828</v>
      </c>
      <c r="I39" s="2">
        <f ca="1">E39/'1'!$H39</f>
        <v>0.33019543547982222</v>
      </c>
      <c r="J39" s="2">
        <f ca="1">F39/H39</f>
        <v>0.32669037634910042</v>
      </c>
      <c r="K39" s="2">
        <f ca="1">G39/H39</f>
        <v>0.34318865428992751</v>
      </c>
      <c r="L39" s="2">
        <f ca="1">-Data!$M39*LOG(I39)</f>
        <v>0.48122893458511906</v>
      </c>
      <c r="M39" s="2">
        <f ca="1">-Data!$N39*LOG(J39)</f>
        <v>0</v>
      </c>
      <c r="N39" s="2">
        <f ca="1">-Data!$O39*LOG(K39)</f>
        <v>0</v>
      </c>
      <c r="O39" s="2">
        <f ca="1">SUM(L39:N39)</f>
        <v>0.48122893458511906</v>
      </c>
      <c r="P39" s="2"/>
      <c r="Q39" s="2">
        <f ca="1">(I39-'1'!Z39)*'1'!V39</f>
        <v>-1.452730487736618E-4</v>
      </c>
      <c r="R39" s="2">
        <f>('1'!$I39-Data!$M39)*'1'!W39</f>
        <v>-0.10185185185185185</v>
      </c>
      <c r="S39" s="2">
        <f>('1'!$I39-Data!$M39)*'1'!X39</f>
        <v>-2.2598870056497179E-2</v>
      </c>
      <c r="T39" s="2">
        <f>('1'!$I39-Data!$M39)*'1'!Y39</f>
        <v>-9.2592592592592605E-3</v>
      </c>
      <c r="U39" s="2">
        <f>('1'!$I39-Data!$M39)</f>
        <v>-0.66666666666666674</v>
      </c>
      <c r="V39" s="2">
        <f>('1'!$J39-Data!$N39)*'1'!V39</f>
        <v>1.5432098765432094E-2</v>
      </c>
      <c r="W39" s="2">
        <f>('1'!$J39-Data!$N39)*'1'!W39</f>
        <v>5.0925925925925916E-2</v>
      </c>
      <c r="X39" s="2">
        <f>('1'!$J39-Data!$N39)*'1'!X39</f>
        <v>1.1299435028248588E-2</v>
      </c>
      <c r="Y39" s="2">
        <f>('1'!$J39-Data!$N39)*'1'!Y39</f>
        <v>4.6296296296296294E-3</v>
      </c>
      <c r="Z39" s="2">
        <f>('1'!$J39-Data!$N39)</f>
        <v>0.33333333333333331</v>
      </c>
      <c r="AA39" s="2">
        <f>('1'!$K39-Data!$O39)*'1'!V39</f>
        <v>1.5432098765432094E-2</v>
      </c>
      <c r="AB39" s="2">
        <f>('1'!$K39-Data!$O39)*'1'!W39</f>
        <v>5.0925925925925916E-2</v>
      </c>
      <c r="AC39" s="2">
        <f>('1'!$K39-Data!$O39)*'1'!X39</f>
        <v>1.1299435028248588E-2</v>
      </c>
      <c r="AD39" s="2">
        <f>('1'!$K39-Data!$O39)*'1'!Y39</f>
        <v>4.6296296296296294E-3</v>
      </c>
      <c r="AE39" s="2">
        <f>('1'!$K39-Data!$O39)</f>
        <v>0.33333333333333331</v>
      </c>
    </row>
    <row r="40" spans="2:31" x14ac:dyDescent="0.25">
      <c r="B40" s="2">
        <f ca="1">B$2*Data!$I40+B$3*Data!$J40+B$4*Data!$K40+B$5*Data!$L40+B$6</f>
        <v>0.17722354702127879</v>
      </c>
      <c r="C40" s="2">
        <f ca="1">C$2*Data!$I40+C$3*Data!$J40+C$4*Data!$K40+C$5*Data!$L40+C$6</f>
        <v>0.18619865960333731</v>
      </c>
      <c r="D40" s="2">
        <f ca="1">D$2*Data!$I40+D$3*Data!$J40+D$4*Data!$K40+D$5*Data!$L40+D$6</f>
        <v>0.26616818885561072</v>
      </c>
      <c r="E40" s="2">
        <f ca="1">EXP(B40)</f>
        <v>1.1938979556295606</v>
      </c>
      <c r="F40" s="2">
        <f ca="1">EXP(C40)</f>
        <v>1.2046615541943473</v>
      </c>
      <c r="G40" s="2">
        <f ca="1">EXP(D40)</f>
        <v>1.304954519038199</v>
      </c>
      <c r="H40" s="2">
        <f ca="1">SUM(E40:G40)</f>
        <v>3.7035140288621071</v>
      </c>
      <c r="I40" s="2">
        <f ca="1">E40/'1'!$H40</f>
        <v>0.3226290051356332</v>
      </c>
      <c r="J40" s="2">
        <f ca="1">F40/H40</f>
        <v>0.32527527769740233</v>
      </c>
      <c r="K40" s="2">
        <f ca="1">G40/H40</f>
        <v>0.35235576505677291</v>
      </c>
      <c r="L40" s="2">
        <f ca="1">-Data!$M40*LOG(I40)</f>
        <v>0.49129659105711565</v>
      </c>
      <c r="M40" s="2">
        <f ca="1">-Data!$N40*LOG(J40)</f>
        <v>0</v>
      </c>
      <c r="N40" s="2">
        <f ca="1">-Data!$O40*LOG(K40)</f>
        <v>0</v>
      </c>
      <c r="O40" s="2">
        <f ca="1">SUM(L40:N40)</f>
        <v>0.49129659105711565</v>
      </c>
      <c r="P40" s="2"/>
      <c r="Q40" s="2">
        <f ca="1">(I40-'1'!Z40)*'1'!V40</f>
        <v>-1.0902556497657532E-3</v>
      </c>
      <c r="R40" s="2">
        <f>('1'!$I40-Data!$M40)*'1'!W40</f>
        <v>-0.12962962962962962</v>
      </c>
      <c r="S40" s="2">
        <f>('1'!$I40-Data!$M40)*'1'!X40</f>
        <v>-1.8832391713747645E-2</v>
      </c>
      <c r="T40" s="2">
        <f>('1'!$I40-Data!$M40)*'1'!Y40</f>
        <v>-2.7777777777777783E-2</v>
      </c>
      <c r="U40" s="2">
        <f>('1'!$I40-Data!$M40)</f>
        <v>-0.66666666666666674</v>
      </c>
      <c r="V40" s="2">
        <f>('1'!$J40-Data!$N40)*'1'!V40</f>
        <v>3.3950617283950622E-2</v>
      </c>
      <c r="W40" s="2">
        <f>('1'!$J40-Data!$N40)*'1'!W40</f>
        <v>6.4814814814814797E-2</v>
      </c>
      <c r="X40" s="2">
        <f>('1'!$J40-Data!$N40)*'1'!X40</f>
        <v>9.4161958568738206E-3</v>
      </c>
      <c r="Y40" s="2">
        <f>('1'!$J40-Data!$N40)*'1'!Y40</f>
        <v>1.388888888888889E-2</v>
      </c>
      <c r="Z40" s="2">
        <f>('1'!$J40-Data!$N40)</f>
        <v>0.33333333333333331</v>
      </c>
      <c r="AA40" s="2">
        <f>('1'!$K40-Data!$O40)*'1'!V40</f>
        <v>3.3950617283950622E-2</v>
      </c>
      <c r="AB40" s="2">
        <f>('1'!$K40-Data!$O40)*'1'!W40</f>
        <v>6.4814814814814797E-2</v>
      </c>
      <c r="AC40" s="2">
        <f>('1'!$K40-Data!$O40)*'1'!X40</f>
        <v>9.4161958568738206E-3</v>
      </c>
      <c r="AD40" s="2">
        <f>('1'!$K40-Data!$O40)*'1'!Y40</f>
        <v>1.388888888888889E-2</v>
      </c>
      <c r="AE40" s="2">
        <f>('1'!$K40-Data!$O40)</f>
        <v>0.33333333333333331</v>
      </c>
    </row>
    <row r="41" spans="2:31" x14ac:dyDescent="0.25">
      <c r="B41" s="2">
        <f ca="1">B$2*Data!$I41+B$3*Data!$J41+B$4*Data!$K41+B$5*Data!$L41+B$6</f>
        <v>0.24177473014885079</v>
      </c>
      <c r="C41" s="2">
        <f ca="1">C$2*Data!$I41+C$3*Data!$J41+C$4*Data!$K41+C$5*Data!$L41+C$6</f>
        <v>0.17602183347165007</v>
      </c>
      <c r="D41" s="2">
        <f ca="1">D$2*Data!$I41+D$3*Data!$J41+D$4*Data!$K41+D$5*Data!$L41+D$6</f>
        <v>0.2451271651930593</v>
      </c>
      <c r="E41" s="2">
        <f ca="1">EXP(B41)</f>
        <v>1.2735072777058598</v>
      </c>
      <c r="F41" s="2">
        <f ca="1">EXP(C41)</f>
        <v>1.1924640939974374</v>
      </c>
      <c r="G41" s="2">
        <f ca="1">EXP(D41)</f>
        <v>1.2777837924964732</v>
      </c>
      <c r="H41" s="2">
        <f ca="1">SUM(E41:G41)</f>
        <v>3.7437551641997704</v>
      </c>
      <c r="I41" s="2">
        <f ca="1">E41/'1'!$H41</f>
        <v>0.34033932825404378</v>
      </c>
      <c r="J41" s="2">
        <f ca="1">F41/H41</f>
        <v>0.31852085451542267</v>
      </c>
      <c r="K41" s="2">
        <f ca="1">G41/H41</f>
        <v>0.34131072584966976</v>
      </c>
      <c r="L41" s="2">
        <f ca="1">-Data!$M41*LOG(I41)</f>
        <v>0.46808786266785424</v>
      </c>
      <c r="M41" s="2">
        <f ca="1">-Data!$N41*LOG(J41)</f>
        <v>0</v>
      </c>
      <c r="N41" s="2">
        <f ca="1">-Data!$O41*LOG(K41)</f>
        <v>0</v>
      </c>
      <c r="O41" s="2">
        <f ca="1">SUM(L41:N41)</f>
        <v>0.46808786266785424</v>
      </c>
      <c r="P41" s="2"/>
      <c r="Q41" s="2">
        <f ca="1">(I41-'1'!Z41)*'1'!V41</f>
        <v>5.8383291005920112E-4</v>
      </c>
      <c r="R41" s="2">
        <f>('1'!$I41-Data!$M41)*'1'!W41</f>
        <v>-0.19444444444444442</v>
      </c>
      <c r="S41" s="2">
        <f>('1'!$I41-Data!$M41)*'1'!X41</f>
        <v>-1.8832391713747648E-2</v>
      </c>
      <c r="T41" s="2">
        <f>('1'!$I41-Data!$M41)*'1'!Y41</f>
        <v>0</v>
      </c>
      <c r="U41" s="2">
        <f>('1'!$I41-Data!$M41)</f>
        <v>-0.66666666666666663</v>
      </c>
      <c r="V41" s="2">
        <f>('1'!$J41-Data!$N41)*'1'!V41</f>
        <v>2.777777777777779E-2</v>
      </c>
      <c r="W41" s="2">
        <f>('1'!$J41-Data!$N41)*'1'!W41</f>
        <v>9.7222222222222224E-2</v>
      </c>
      <c r="X41" s="2">
        <f>('1'!$J41-Data!$N41)*'1'!X41</f>
        <v>9.4161958568738258E-3</v>
      </c>
      <c r="Y41" s="2">
        <f>('1'!$J41-Data!$N41)*'1'!Y41</f>
        <v>0</v>
      </c>
      <c r="Z41" s="2">
        <f>('1'!$J41-Data!$N41)</f>
        <v>0.33333333333333337</v>
      </c>
      <c r="AA41" s="2">
        <f>('1'!$K41-Data!$O41)*'1'!V41</f>
        <v>2.777777777777779E-2</v>
      </c>
      <c r="AB41" s="2">
        <f>('1'!$K41-Data!$O41)*'1'!W41</f>
        <v>9.7222222222222224E-2</v>
      </c>
      <c r="AC41" s="2">
        <f>('1'!$K41-Data!$O41)*'1'!X41</f>
        <v>9.4161958568738258E-3</v>
      </c>
      <c r="AD41" s="2">
        <f>('1'!$K41-Data!$O41)*'1'!Y41</f>
        <v>0</v>
      </c>
      <c r="AE41" s="2">
        <f>('1'!$K41-Data!$O41)</f>
        <v>0.33333333333333337</v>
      </c>
    </row>
    <row r="42" spans="2:31" x14ac:dyDescent="0.25">
      <c r="B42" s="2">
        <f ca="1">B$2*Data!$I42+B$3*Data!$J42+B$4*Data!$K42+B$5*Data!$L42+B$6</f>
        <v>0.24522379646475975</v>
      </c>
      <c r="C42" s="2">
        <f ca="1">C$2*Data!$I42+C$3*Data!$J42+C$4*Data!$K42+C$5*Data!$L42+C$6</f>
        <v>0.18998606245633232</v>
      </c>
      <c r="D42" s="2">
        <f ca="1">D$2*Data!$I42+D$3*Data!$J42+D$4*Data!$K42+D$5*Data!$L42+D$6</f>
        <v>0.27262912412975626</v>
      </c>
      <c r="E42" s="2">
        <f ca="1">EXP(B42)</f>
        <v>1.2779072723352112</v>
      </c>
      <c r="F42" s="2">
        <f ca="1">EXP(C42)</f>
        <v>1.2092327438056298</v>
      </c>
      <c r="G42" s="2">
        <f ca="1">EXP(D42)</f>
        <v>1.3134130412796303</v>
      </c>
      <c r="H42" s="2">
        <f ca="1">SUM(E42:G42)</f>
        <v>3.8005530574204709</v>
      </c>
      <c r="I42" s="2">
        <f ca="1">E42/'1'!$H42</f>
        <v>0.33644021263046164</v>
      </c>
      <c r="J42" s="2">
        <f ca="1">F42/H42</f>
        <v>0.31817283577837113</v>
      </c>
      <c r="K42" s="2">
        <f ca="1">G42/H42</f>
        <v>0.34558471397083351</v>
      </c>
      <c r="L42" s="2">
        <f ca="1">-Data!$M42*LOG(I42)</f>
        <v>0.47309210122198198</v>
      </c>
      <c r="M42" s="2">
        <f ca="1">-Data!$N42*LOG(J42)</f>
        <v>0</v>
      </c>
      <c r="N42" s="2">
        <f ca="1">-Data!$O42*LOG(K42)</f>
        <v>0</v>
      </c>
      <c r="O42" s="2">
        <f ca="1">SUM(L42:N42)</f>
        <v>0.47309210122198198</v>
      </c>
      <c r="P42" s="2"/>
      <c r="Q42" s="2">
        <f ca="1">(I42-'1'!Z42)*'1'!V42</f>
        <v>3.4520881079203036E-4</v>
      </c>
      <c r="R42" s="2">
        <f>('1'!$I42-Data!$M42)*'1'!W42</f>
        <v>-0.20370370370370372</v>
      </c>
      <c r="S42" s="2">
        <f>('1'!$I42-Data!$M42)*'1'!X42</f>
        <v>-1.5065913370998114E-2</v>
      </c>
      <c r="T42" s="2">
        <f>('1'!$I42-Data!$M42)*'1'!Y42</f>
        <v>-9.2592592592592605E-3</v>
      </c>
      <c r="U42" s="2">
        <f>('1'!$I42-Data!$M42)</f>
        <v>-0.66666666666666663</v>
      </c>
      <c r="V42" s="2">
        <f>('1'!$J42-Data!$N42)*'1'!V42</f>
        <v>3.7037037037037042E-2</v>
      </c>
      <c r="W42" s="2">
        <f>('1'!$J42-Data!$N42)*'1'!W42</f>
        <v>0.10185185185185187</v>
      </c>
      <c r="X42" s="2">
        <f>('1'!$J42-Data!$N42)*'1'!X42</f>
        <v>7.5329566854990581E-3</v>
      </c>
      <c r="Y42" s="2">
        <f>('1'!$J42-Data!$N42)*'1'!Y42</f>
        <v>4.6296296296296311E-3</v>
      </c>
      <c r="Z42" s="2">
        <f>('1'!$J42-Data!$N42)</f>
        <v>0.33333333333333337</v>
      </c>
      <c r="AA42" s="2">
        <f>('1'!$K42-Data!$O42)*'1'!V42</f>
        <v>3.7037037037037042E-2</v>
      </c>
      <c r="AB42" s="2">
        <f>('1'!$K42-Data!$O42)*'1'!W42</f>
        <v>0.10185185185185187</v>
      </c>
      <c r="AC42" s="2">
        <f>('1'!$K42-Data!$O42)*'1'!X42</f>
        <v>7.5329566854990581E-3</v>
      </c>
      <c r="AD42" s="2">
        <f>('1'!$K42-Data!$O42)*'1'!Y42</f>
        <v>4.6296296296296311E-3</v>
      </c>
      <c r="AE42" s="2">
        <f>('1'!$K42-Data!$O42)</f>
        <v>0.33333333333333337</v>
      </c>
    </row>
    <row r="43" spans="2:31" x14ac:dyDescent="0.25">
      <c r="B43" s="2">
        <f ca="1">B$2*Data!$I43+B$3*Data!$J43+B$4*Data!$K43+B$5*Data!$L43+B$6</f>
        <v>0.16986886595132</v>
      </c>
      <c r="C43" s="2">
        <f ca="1">C$2*Data!$I43+C$3*Data!$J43+C$4*Data!$K43+C$5*Data!$L43+C$6</f>
        <v>0.14960208038523032</v>
      </c>
      <c r="D43" s="2">
        <f ca="1">D$2*Data!$I43+D$3*Data!$J43+D$4*Data!$K43+D$5*Data!$L43+D$6</f>
        <v>0.19345278247700992</v>
      </c>
      <c r="E43" s="2">
        <f ca="1">EXP(B43)</f>
        <v>1.1851494276871797</v>
      </c>
      <c r="F43" s="2">
        <f ca="1">EXP(C43)</f>
        <v>1.1613720180642197</v>
      </c>
      <c r="G43" s="2">
        <f ca="1">EXP(D43)</f>
        <v>1.2134320899412048</v>
      </c>
      <c r="H43" s="2">
        <f ca="1">SUM(E43:G43)</f>
        <v>3.5599535356926042</v>
      </c>
      <c r="I43" s="2">
        <f ca="1">E43/'1'!$H43</f>
        <v>0.3329649669175152</v>
      </c>
      <c r="J43" s="2">
        <f ca="1">F43/H43</f>
        <v>0.32623235287206348</v>
      </c>
      <c r="K43" s="2">
        <f ca="1">G43/H43</f>
        <v>0.34085615943443104</v>
      </c>
      <c r="L43" s="2">
        <f ca="1">-Data!$M43*LOG(I43)</f>
        <v>0.47760145861016384</v>
      </c>
      <c r="M43" s="2">
        <f ca="1">-Data!$N43*LOG(J43)</f>
        <v>0</v>
      </c>
      <c r="N43" s="2">
        <f ca="1">-Data!$O43*LOG(K43)</f>
        <v>0</v>
      </c>
      <c r="O43" s="2">
        <f ca="1">SUM(L43:N43)</f>
        <v>0.47760145861016384</v>
      </c>
      <c r="P43" s="2"/>
      <c r="Q43" s="2">
        <f ca="1">(I43-'1'!Z43)*'1'!V43</f>
        <v>-2.0464800878787048E-5</v>
      </c>
      <c r="R43" s="2">
        <f>('1'!$I43-Data!$M43)*'1'!W43</f>
        <v>-0.10185185185185186</v>
      </c>
      <c r="S43" s="2">
        <f>('1'!$I43-Data!$M43)*'1'!X43</f>
        <v>-1.8832391713747648E-2</v>
      </c>
      <c r="T43" s="2">
        <f>('1'!$I43-Data!$M43)*'1'!Y43</f>
        <v>0</v>
      </c>
      <c r="U43" s="2">
        <f>('1'!$I43-Data!$M43)</f>
        <v>-0.66666666666666663</v>
      </c>
      <c r="V43" s="2">
        <f>('1'!$J43-Data!$N43)*'1'!V43</f>
        <v>1.8518518518518538E-2</v>
      </c>
      <c r="W43" s="2">
        <f>('1'!$J43-Data!$N43)*'1'!W43</f>
        <v>5.0925925925925937E-2</v>
      </c>
      <c r="X43" s="2">
        <f>('1'!$J43-Data!$N43)*'1'!X43</f>
        <v>9.4161958568738258E-3</v>
      </c>
      <c r="Y43" s="2">
        <f>('1'!$J43-Data!$N43)*'1'!Y43</f>
        <v>0</v>
      </c>
      <c r="Z43" s="2">
        <f>('1'!$J43-Data!$N43)</f>
        <v>0.33333333333333337</v>
      </c>
      <c r="AA43" s="2">
        <f>('1'!$K43-Data!$O43)*'1'!V43</f>
        <v>1.8518518518518538E-2</v>
      </c>
      <c r="AB43" s="2">
        <f>('1'!$K43-Data!$O43)*'1'!W43</f>
        <v>5.0925925925925937E-2</v>
      </c>
      <c r="AC43" s="2">
        <f>('1'!$K43-Data!$O43)*'1'!X43</f>
        <v>9.4161958568738258E-3</v>
      </c>
      <c r="AD43" s="2">
        <f>('1'!$K43-Data!$O43)*'1'!Y43</f>
        <v>0</v>
      </c>
      <c r="AE43" s="2">
        <f>('1'!$K43-Data!$O43)</f>
        <v>0.33333333333333337</v>
      </c>
    </row>
    <row r="44" spans="2:31" x14ac:dyDescent="0.25">
      <c r="B44" s="2">
        <f ca="1">B$2*Data!$I44+B$3*Data!$J44+B$4*Data!$K44+B$5*Data!$L44+B$6</f>
        <v>0.17742542703896452</v>
      </c>
      <c r="C44" s="2">
        <f ca="1">C$2*Data!$I44+C$3*Data!$J44+C$4*Data!$K44+C$5*Data!$L44+C$6</f>
        <v>0.15246570355326894</v>
      </c>
      <c r="D44" s="2">
        <f ca="1">D$2*Data!$I44+D$3*Data!$J44+D$4*Data!$K44+D$5*Data!$L44+D$6</f>
        <v>0.20111169426652453</v>
      </c>
      <c r="E44" s="2">
        <f ca="1">EXP(B44)</f>
        <v>1.1941390041005742</v>
      </c>
      <c r="F44" s="2">
        <f ca="1">EXP(C44)</f>
        <v>1.1647025162518119</v>
      </c>
      <c r="G44" s="2">
        <f ca="1">EXP(D44)</f>
        <v>1.222761339627229</v>
      </c>
      <c r="H44" s="2">
        <f ca="1">SUM(E44:G44)</f>
        <v>3.5816028599796148</v>
      </c>
      <c r="I44" s="2">
        <f ca="1">E44/'1'!$H44</f>
        <v>0.33347485850868785</v>
      </c>
      <c r="J44" s="2">
        <f ca="1">F44/H44</f>
        <v>0.32519030215941946</v>
      </c>
      <c r="K44" s="2">
        <f ca="1">G44/H44</f>
        <v>0.34140059281563911</v>
      </c>
      <c r="L44" s="2">
        <f ca="1">-Data!$M44*LOG(I44)</f>
        <v>0.47693690304437786</v>
      </c>
      <c r="M44" s="2">
        <f ca="1">-Data!$N44*LOG(J44)</f>
        <v>0</v>
      </c>
      <c r="N44" s="2">
        <f ca="1">-Data!$O44*LOG(K44)</f>
        <v>0</v>
      </c>
      <c r="O44" s="2">
        <f ca="1">SUM(L44:N44)</f>
        <v>0.47693690304437786</v>
      </c>
      <c r="P44" s="2"/>
      <c r="Q44" s="2">
        <f ca="1">(I44-'1'!Z44)*'1'!V44</f>
        <v>9.1729280322386989E-6</v>
      </c>
      <c r="R44" s="2">
        <f>('1'!$I44-Data!$M44)*'1'!W44</f>
        <v>-0.11111111111111112</v>
      </c>
      <c r="S44" s="2">
        <f>('1'!$I44-Data!$M44)*'1'!X44</f>
        <v>-7.5329566854990572E-3</v>
      </c>
      <c r="T44" s="2">
        <f>('1'!$I44-Data!$M44)*'1'!Y44</f>
        <v>-9.2592592592592605E-3</v>
      </c>
      <c r="U44" s="2">
        <f>('1'!$I44-Data!$M44)</f>
        <v>-0.66666666666666674</v>
      </c>
      <c r="V44" s="2">
        <f>('1'!$J44-Data!$N44)*'1'!V44</f>
        <v>2.1604938271604941E-2</v>
      </c>
      <c r="W44" s="2">
        <f>('1'!$J44-Data!$N44)*'1'!W44</f>
        <v>5.5555555555555552E-2</v>
      </c>
      <c r="X44" s="2">
        <f>('1'!$J44-Data!$N44)*'1'!X44</f>
        <v>3.7664783427495277E-3</v>
      </c>
      <c r="Y44" s="2">
        <f>('1'!$J44-Data!$N44)*'1'!Y44</f>
        <v>4.6296296296296294E-3</v>
      </c>
      <c r="Z44" s="2">
        <f>('1'!$J44-Data!$N44)</f>
        <v>0.33333333333333331</v>
      </c>
      <c r="AA44" s="2">
        <f>('1'!$K44-Data!$O44)*'1'!V44</f>
        <v>2.1604938271604941E-2</v>
      </c>
      <c r="AB44" s="2">
        <f>('1'!$K44-Data!$O44)*'1'!W44</f>
        <v>5.5555555555555552E-2</v>
      </c>
      <c r="AC44" s="2">
        <f>('1'!$K44-Data!$O44)*'1'!X44</f>
        <v>3.7664783427495277E-3</v>
      </c>
      <c r="AD44" s="2">
        <f>('1'!$K44-Data!$O44)*'1'!Y44</f>
        <v>4.6296296296296294E-3</v>
      </c>
      <c r="AE44" s="2">
        <f>('1'!$K44-Data!$O44)</f>
        <v>0.33333333333333331</v>
      </c>
    </row>
    <row r="45" spans="2:31" x14ac:dyDescent="0.25">
      <c r="B45" s="2">
        <f ca="1">B$2*Data!$I45+B$3*Data!$J45+B$4*Data!$K45+B$5*Data!$L45+B$6</f>
        <v>0.195540146731286</v>
      </c>
      <c r="C45" s="2">
        <f ca="1">C$2*Data!$I45+C$3*Data!$J45+C$4*Data!$K45+C$5*Data!$L45+C$6</f>
        <v>0.17566132539163187</v>
      </c>
      <c r="D45" s="2">
        <f ca="1">D$2*Data!$I45+D$3*Data!$J45+D$4*Data!$K45+D$5*Data!$L45+D$6</f>
        <v>0.24405276516521854</v>
      </c>
      <c r="E45" s="2">
        <f ca="1">EXP(B45)</f>
        <v>1.2159676100671541</v>
      </c>
      <c r="F45" s="2">
        <f ca="1">EXP(C45)</f>
        <v>1.1920342785370481</v>
      </c>
      <c r="G45" s="2">
        <f ca="1">EXP(D45)</f>
        <v>1.2764116787857351</v>
      </c>
      <c r="H45" s="2">
        <f ca="1">SUM(E45:G45)</f>
        <v>3.6844135673899374</v>
      </c>
      <c r="I45" s="2">
        <f ca="1">E45/'1'!$H45</f>
        <v>0.33016693536040614</v>
      </c>
      <c r="J45" s="2">
        <f ca="1">F45/H45</f>
        <v>0.32353433096857609</v>
      </c>
      <c r="K45" s="2">
        <f ca="1">G45/H45</f>
        <v>0.34643550606886769</v>
      </c>
      <c r="L45" s="2">
        <f ca="1">-Data!$M45*LOG(I45)</f>
        <v>0.48126642141098985</v>
      </c>
      <c r="M45" s="2">
        <f ca="1">-Data!$N45*LOG(J45)</f>
        <v>0</v>
      </c>
      <c r="N45" s="2">
        <f ca="1">-Data!$O45*LOG(K45)</f>
        <v>0</v>
      </c>
      <c r="O45" s="2">
        <f ca="1">SUM(L45:N45)</f>
        <v>0.48126642141098985</v>
      </c>
      <c r="P45" s="2"/>
      <c r="Q45" s="2">
        <f ca="1">(I45-'1'!Z45)*'1'!V45</f>
        <v>-3.5182199699190786E-4</v>
      </c>
      <c r="R45" s="2">
        <f>('1'!$I45-Data!$M45)*'1'!W45</f>
        <v>-0.13888888888888887</v>
      </c>
      <c r="S45" s="2">
        <f>('1'!$I45-Data!$M45)*'1'!X45</f>
        <v>-1.1299435028248589E-2</v>
      </c>
      <c r="T45" s="2">
        <f>('1'!$I45-Data!$M45)*'1'!Y45</f>
        <v>-9.2592592592592605E-3</v>
      </c>
      <c r="U45" s="2">
        <f>('1'!$I45-Data!$M45)</f>
        <v>-0.66666666666666674</v>
      </c>
      <c r="V45" s="2">
        <f>('1'!$J45-Data!$N45)*'1'!V45</f>
        <v>3.7037037037037035E-2</v>
      </c>
      <c r="W45" s="2">
        <f>('1'!$J45-Data!$N45)*'1'!W45</f>
        <v>6.944444444444442E-2</v>
      </c>
      <c r="X45" s="2">
        <f>('1'!$J45-Data!$N45)*'1'!X45</f>
        <v>5.6497175141242938E-3</v>
      </c>
      <c r="Y45" s="2">
        <f>('1'!$J45-Data!$N45)*'1'!Y45</f>
        <v>4.6296296296296294E-3</v>
      </c>
      <c r="Z45" s="2">
        <f>('1'!$J45-Data!$N45)</f>
        <v>0.33333333333333331</v>
      </c>
      <c r="AA45" s="2">
        <f>('1'!$K45-Data!$O45)*'1'!V45</f>
        <v>3.7037037037037035E-2</v>
      </c>
      <c r="AB45" s="2">
        <f>('1'!$K45-Data!$O45)*'1'!W45</f>
        <v>6.944444444444442E-2</v>
      </c>
      <c r="AC45" s="2">
        <f>('1'!$K45-Data!$O45)*'1'!X45</f>
        <v>5.6497175141242938E-3</v>
      </c>
      <c r="AD45" s="2">
        <f>('1'!$K45-Data!$O45)*'1'!Y45</f>
        <v>4.6296296296296294E-3</v>
      </c>
      <c r="AE45" s="2">
        <f>('1'!$K45-Data!$O45)</f>
        <v>0.33333333333333331</v>
      </c>
    </row>
    <row r="46" spans="2:31" x14ac:dyDescent="0.25">
      <c r="B46" s="2">
        <f ca="1">B$2*Data!$I46+B$3*Data!$J46+B$4*Data!$K46+B$5*Data!$L46+B$6</f>
        <v>0.16986886595132</v>
      </c>
      <c r="C46" s="2">
        <f ca="1">C$2*Data!$I46+C$3*Data!$J46+C$4*Data!$K46+C$5*Data!$L46+C$6</f>
        <v>0.14960208038523032</v>
      </c>
      <c r="D46" s="2">
        <f ca="1">D$2*Data!$I46+D$3*Data!$J46+D$4*Data!$K46+D$5*Data!$L46+D$6</f>
        <v>0.19345278247700992</v>
      </c>
      <c r="E46" s="2">
        <f ca="1">EXP(B46)</f>
        <v>1.1851494276871797</v>
      </c>
      <c r="F46" s="2">
        <f ca="1">EXP(C46)</f>
        <v>1.1613720180642197</v>
      </c>
      <c r="G46" s="2">
        <f ca="1">EXP(D46)</f>
        <v>1.2134320899412048</v>
      </c>
      <c r="H46" s="2">
        <f ca="1">SUM(E46:G46)</f>
        <v>3.5599535356926042</v>
      </c>
      <c r="I46" s="2">
        <f ca="1">E46/'1'!$H46</f>
        <v>0.3329649669175152</v>
      </c>
      <c r="J46" s="2">
        <f ca="1">F46/H46</f>
        <v>0.32623235287206348</v>
      </c>
      <c r="K46" s="2">
        <f ca="1">G46/H46</f>
        <v>0.34085615943443104</v>
      </c>
      <c r="L46" s="2">
        <f ca="1">-Data!$M46*LOG(I46)</f>
        <v>0.47760145861016384</v>
      </c>
      <c r="M46" s="2">
        <f ca="1">-Data!$N46*LOG(J46)</f>
        <v>0</v>
      </c>
      <c r="N46" s="2">
        <f ca="1">-Data!$O46*LOG(K46)</f>
        <v>0</v>
      </c>
      <c r="O46" s="2">
        <f ca="1">SUM(L46:N46)</f>
        <v>0.47760145861016384</v>
      </c>
      <c r="P46" s="2"/>
      <c r="Q46" s="2">
        <f ca="1">(I46-'1'!Z46)*'1'!V46</f>
        <v>-2.0464800878787048E-5</v>
      </c>
      <c r="R46" s="2">
        <f>('1'!$I46-Data!$M46)*'1'!W46</f>
        <v>-0.10185185185185186</v>
      </c>
      <c r="S46" s="2">
        <f>('1'!$I46-Data!$M46)*'1'!X46</f>
        <v>-1.8832391713747648E-2</v>
      </c>
      <c r="T46" s="2">
        <f>('1'!$I46-Data!$M46)*'1'!Y46</f>
        <v>0</v>
      </c>
      <c r="U46" s="2">
        <f>('1'!$I46-Data!$M46)</f>
        <v>-0.66666666666666663</v>
      </c>
      <c r="V46" s="2">
        <f>('1'!$J46-Data!$N46)*'1'!V46</f>
        <v>1.8518518518518538E-2</v>
      </c>
      <c r="W46" s="2">
        <f>('1'!$J46-Data!$N46)*'1'!W46</f>
        <v>5.0925925925925937E-2</v>
      </c>
      <c r="X46" s="2">
        <f>('1'!$J46-Data!$N46)*'1'!X46</f>
        <v>9.4161958568738258E-3</v>
      </c>
      <c r="Y46" s="2">
        <f>('1'!$J46-Data!$N46)*'1'!Y46</f>
        <v>0</v>
      </c>
      <c r="Z46" s="2">
        <f>('1'!$J46-Data!$N46)</f>
        <v>0.33333333333333337</v>
      </c>
      <c r="AA46" s="2">
        <f>('1'!$K46-Data!$O46)*'1'!V46</f>
        <v>1.8518518518518538E-2</v>
      </c>
      <c r="AB46" s="2">
        <f>('1'!$K46-Data!$O46)*'1'!W46</f>
        <v>5.0925925925925937E-2</v>
      </c>
      <c r="AC46" s="2">
        <f>('1'!$K46-Data!$O46)*'1'!X46</f>
        <v>9.4161958568738258E-3</v>
      </c>
      <c r="AD46" s="2">
        <f>('1'!$K46-Data!$O46)*'1'!Y46</f>
        <v>0</v>
      </c>
      <c r="AE46" s="2">
        <f>('1'!$K46-Data!$O46)</f>
        <v>0.33333333333333337</v>
      </c>
    </row>
    <row r="47" spans="2:31" x14ac:dyDescent="0.25">
      <c r="B47" s="2">
        <f ca="1">B$2*Data!$I47+B$3*Data!$J47+B$4*Data!$K47+B$5*Data!$L47+B$6</f>
        <v>0.16388762615515434</v>
      </c>
      <c r="C47" s="2">
        <f ca="1">C$2*Data!$I47+C$3*Data!$J47+C$4*Data!$K47+C$5*Data!$L47+C$6</f>
        <v>0.13266621222290764</v>
      </c>
      <c r="D47" s="2">
        <f ca="1">D$2*Data!$I47+D$3*Data!$J47+D$4*Data!$K47+D$5*Data!$L47+D$6</f>
        <v>0.16453373224340784</v>
      </c>
      <c r="E47" s="2">
        <f ca="1">EXP(B47)</f>
        <v>1.1780819220589795</v>
      </c>
      <c r="F47" s="2">
        <f ca="1">EXP(C47)</f>
        <v>1.1418687928674691</v>
      </c>
      <c r="G47" s="2">
        <f ca="1">EXP(D47)</f>
        <v>1.1788433339112121</v>
      </c>
      <c r="H47" s="2">
        <f ca="1">SUM(E47:G47)</f>
        <v>3.4987940488376608</v>
      </c>
      <c r="I47" s="2">
        <f ca="1">E47/'1'!$H47</f>
        <v>0.33674796075084473</v>
      </c>
      <c r="J47" s="2">
        <f ca="1">F47/H47</f>
        <v>0.32636067654419698</v>
      </c>
      <c r="K47" s="2">
        <f ca="1">G47/H47</f>
        <v>0.33692847234115919</v>
      </c>
      <c r="L47" s="2">
        <f ca="1">-Data!$M47*LOG(I47)</f>
        <v>0.47269502555994908</v>
      </c>
      <c r="M47" s="2">
        <f ca="1">-Data!$N47*LOG(J47)</f>
        <v>0</v>
      </c>
      <c r="N47" s="2">
        <f ca="1">-Data!$O47*LOG(K47)</f>
        <v>0</v>
      </c>
      <c r="O47" s="2">
        <f ca="1">SUM(L47:N47)</f>
        <v>0.47269502555994908</v>
      </c>
      <c r="P47" s="2"/>
      <c r="Q47" s="2">
        <f ca="1">(I47-'1'!Z47)*'1'!V47</f>
        <v>3.161692053251329E-5</v>
      </c>
      <c r="R47" s="2">
        <f>('1'!$I47-Data!$M47)*'1'!W47</f>
        <v>-9.2592592592592587E-2</v>
      </c>
      <c r="S47" s="2">
        <f>('1'!$I47-Data!$M47)*'1'!X47</f>
        <v>-1.1299435028248589E-2</v>
      </c>
      <c r="T47" s="2">
        <f>('1'!$I47-Data!$M47)*'1'!Y47</f>
        <v>-9.2592592592592605E-3</v>
      </c>
      <c r="U47" s="2">
        <f>('1'!$I47-Data!$M47)</f>
        <v>-0.66666666666666674</v>
      </c>
      <c r="V47" s="2">
        <f>('1'!$J47-Data!$N47)*'1'!V47</f>
        <v>3.0864197530864356E-3</v>
      </c>
      <c r="W47" s="2">
        <f>('1'!$J47-Data!$N47)*'1'!W47</f>
        <v>4.6296296296296287E-2</v>
      </c>
      <c r="X47" s="2">
        <f>('1'!$J47-Data!$N47)*'1'!X47</f>
        <v>5.6497175141242938E-3</v>
      </c>
      <c r="Y47" s="2">
        <f>('1'!$J47-Data!$N47)*'1'!Y47</f>
        <v>4.6296296296296294E-3</v>
      </c>
      <c r="Z47" s="2">
        <f>('1'!$J47-Data!$N47)</f>
        <v>0.33333333333333331</v>
      </c>
      <c r="AA47" s="2">
        <f>('1'!$K47-Data!$O47)*'1'!V47</f>
        <v>3.0864197530864356E-3</v>
      </c>
      <c r="AB47" s="2">
        <f>('1'!$K47-Data!$O47)*'1'!W47</f>
        <v>4.6296296296296287E-2</v>
      </c>
      <c r="AC47" s="2">
        <f>('1'!$K47-Data!$O47)*'1'!X47</f>
        <v>5.6497175141242938E-3</v>
      </c>
      <c r="AD47" s="2">
        <f>('1'!$K47-Data!$O47)*'1'!Y47</f>
        <v>4.6296296296296294E-3</v>
      </c>
      <c r="AE47" s="2">
        <f>('1'!$K47-Data!$O47)</f>
        <v>0.33333333333333331</v>
      </c>
    </row>
    <row r="48" spans="2:31" x14ac:dyDescent="0.25">
      <c r="B48" s="2">
        <f ca="1">B$2*Data!$I48+B$3*Data!$J48+B$4*Data!$K48+B$5*Data!$L48+B$6</f>
        <v>0.1868223124533776</v>
      </c>
      <c r="C48" s="2">
        <f ca="1">C$2*Data!$I48+C$3*Data!$J48+C$4*Data!$K48+C$5*Data!$L48+C$6</f>
        <v>0.16624881392432495</v>
      </c>
      <c r="D48" s="2">
        <f ca="1">D$2*Data!$I48+D$3*Data!$J48+D$4*Data!$K48+D$5*Data!$L48+D$6</f>
        <v>0.22651926910252426</v>
      </c>
      <c r="E48" s="2">
        <f ca="1">EXP(B48)</f>
        <v>1.2054130791269293</v>
      </c>
      <c r="F48" s="2">
        <f ca="1">EXP(C48)</f>
        <v>1.180866881296377</v>
      </c>
      <c r="G48" s="2">
        <f ca="1">EXP(D48)</f>
        <v>1.2542267774254219</v>
      </c>
      <c r="H48" s="2">
        <f ca="1">SUM(E48:G48)</f>
        <v>3.6405067378487281</v>
      </c>
      <c r="I48" s="2">
        <f ca="1">E48/'1'!$H48</f>
        <v>0.33121526263153156</v>
      </c>
      <c r="J48" s="2">
        <f ca="1">F48/H48</f>
        <v>0.32436882179599602</v>
      </c>
      <c r="K48" s="2">
        <f ca="1">G48/H48</f>
        <v>0.34451983411698828</v>
      </c>
      <c r="L48" s="2">
        <f ca="1">-Data!$M48*LOG(I48)</f>
        <v>0.47988965883181717</v>
      </c>
      <c r="M48" s="2">
        <f ca="1">-Data!$N48*LOG(J48)</f>
        <v>0</v>
      </c>
      <c r="N48" s="2">
        <f ca="1">-Data!$O48*LOG(K48)</f>
        <v>0</v>
      </c>
      <c r="O48" s="2">
        <f ca="1">SUM(L48:N48)</f>
        <v>0.47988965883181717</v>
      </c>
      <c r="P48" s="2"/>
      <c r="Q48" s="2">
        <f ca="1">(I48-'1'!Z48)*'1'!V48</f>
        <v>-1.5689412605938922E-4</v>
      </c>
      <c r="R48" s="2">
        <f>('1'!$I48-Data!$M48)*'1'!W48</f>
        <v>-0.12962962962962962</v>
      </c>
      <c r="S48" s="2">
        <f>('1'!$I48-Data!$M48)*'1'!X48</f>
        <v>-1.8832391713747645E-2</v>
      </c>
      <c r="T48" s="2">
        <f>('1'!$I48-Data!$M48)*'1'!Y48</f>
        <v>-9.2592592592592605E-3</v>
      </c>
      <c r="U48" s="2">
        <f>('1'!$I48-Data!$M48)</f>
        <v>-0.66666666666666674</v>
      </c>
      <c r="V48" s="2">
        <f>('1'!$J48-Data!$N48)*'1'!V48</f>
        <v>2.4691358024691346E-2</v>
      </c>
      <c r="W48" s="2">
        <f>('1'!$J48-Data!$N48)*'1'!W48</f>
        <v>6.4814814814814797E-2</v>
      </c>
      <c r="X48" s="2">
        <f>('1'!$J48-Data!$N48)*'1'!X48</f>
        <v>9.4161958568738206E-3</v>
      </c>
      <c r="Y48" s="2">
        <f>('1'!$J48-Data!$N48)*'1'!Y48</f>
        <v>4.6296296296296294E-3</v>
      </c>
      <c r="Z48" s="2">
        <f>('1'!$J48-Data!$N48)</f>
        <v>0.33333333333333331</v>
      </c>
      <c r="AA48" s="2">
        <f>('1'!$K48-Data!$O48)*'1'!V48</f>
        <v>2.4691358024691346E-2</v>
      </c>
      <c r="AB48" s="2">
        <f>('1'!$K48-Data!$O48)*'1'!W48</f>
        <v>6.4814814814814797E-2</v>
      </c>
      <c r="AC48" s="2">
        <f>('1'!$K48-Data!$O48)*'1'!X48</f>
        <v>9.4161958568738206E-3</v>
      </c>
      <c r="AD48" s="2">
        <f>('1'!$K48-Data!$O48)*'1'!Y48</f>
        <v>4.6296296296296294E-3</v>
      </c>
      <c r="AE48" s="2">
        <f>('1'!$K48-Data!$O48)</f>
        <v>0.33333333333333331</v>
      </c>
    </row>
    <row r="49" spans="2:31" x14ac:dyDescent="0.25">
      <c r="B49" s="2">
        <f ca="1">B$2*Data!$I49+B$3*Data!$J49+B$4*Data!$K49+B$5*Data!$L49+B$6</f>
        <v>0.19368315084651233</v>
      </c>
      <c r="C49" s="2">
        <f ca="1">C$2*Data!$I49+C$3*Data!$J49+C$4*Data!$K49+C$5*Data!$L49+C$6</f>
        <v>0.16525687580315454</v>
      </c>
      <c r="D49" s="2">
        <f ca="1">D$2*Data!$I49+D$3*Data!$J49+D$4*Data!$K49+D$5*Data!$L49+D$6</f>
        <v>0.2271475439718029</v>
      </c>
      <c r="E49" s="2">
        <f ca="1">EXP(B49)</f>
        <v>1.2137116585139083</v>
      </c>
      <c r="F49" s="2">
        <f ca="1">EXP(C49)</f>
        <v>1.1796961151805592</v>
      </c>
      <c r="G49" s="2">
        <f ca="1">EXP(D49)</f>
        <v>1.2550150241819398</v>
      </c>
      <c r="H49" s="2">
        <f ca="1">SUM(E49:G49)</f>
        <v>3.6484227978764072</v>
      </c>
      <c r="I49" s="2">
        <f ca="1">E49/'1'!$H49</f>
        <v>0.33277401222109654</v>
      </c>
      <c r="J49" s="2">
        <f ca="1">F49/H49</f>
        <v>0.32334413540755486</v>
      </c>
      <c r="K49" s="2">
        <f ca="1">G49/H49</f>
        <v>0.34398837352744066</v>
      </c>
      <c r="L49" s="2">
        <f ca="1">-Data!$M49*LOG(I49)</f>
        <v>0.47785059701371574</v>
      </c>
      <c r="M49" s="2">
        <f ca="1">-Data!$N49*LOG(J49)</f>
        <v>0</v>
      </c>
      <c r="N49" s="2">
        <f ca="1">-Data!$O49*LOG(K49)</f>
        <v>0</v>
      </c>
      <c r="O49" s="2">
        <f ca="1">SUM(L49:N49)</f>
        <v>0.47785059701371574</v>
      </c>
      <c r="P49" s="2"/>
      <c r="Q49" s="2">
        <f ca="1">(I49-'1'!Z49)*'1'!V49</f>
        <v>-3.6252294311642953E-5</v>
      </c>
      <c r="R49" s="2">
        <f>('1'!$I49-Data!$M49)*'1'!W49</f>
        <v>-0.13888888888888887</v>
      </c>
      <c r="S49" s="2">
        <f>('1'!$I49-Data!$M49)*'1'!X49</f>
        <v>-1.1299435028248589E-2</v>
      </c>
      <c r="T49" s="2">
        <f>('1'!$I49-Data!$M49)*'1'!Y49</f>
        <v>-1.8518518518518521E-2</v>
      </c>
      <c r="U49" s="2">
        <f>('1'!$I49-Data!$M49)</f>
        <v>-0.66666666666666674</v>
      </c>
      <c r="V49" s="2">
        <f>('1'!$J49-Data!$N49)*'1'!V49</f>
        <v>2.1604938271604941E-2</v>
      </c>
      <c r="W49" s="2">
        <f>('1'!$J49-Data!$N49)*'1'!W49</f>
        <v>6.944444444444442E-2</v>
      </c>
      <c r="X49" s="2">
        <f>('1'!$J49-Data!$N49)*'1'!X49</f>
        <v>5.6497175141242938E-3</v>
      </c>
      <c r="Y49" s="2">
        <f>('1'!$J49-Data!$N49)*'1'!Y49</f>
        <v>9.2592592592592587E-3</v>
      </c>
      <c r="Z49" s="2">
        <f>('1'!$J49-Data!$N49)</f>
        <v>0.33333333333333331</v>
      </c>
      <c r="AA49" s="2">
        <f>('1'!$K49-Data!$O49)*'1'!V49</f>
        <v>2.1604938271604941E-2</v>
      </c>
      <c r="AB49" s="2">
        <f>('1'!$K49-Data!$O49)*'1'!W49</f>
        <v>6.944444444444442E-2</v>
      </c>
      <c r="AC49" s="2">
        <f>('1'!$K49-Data!$O49)*'1'!X49</f>
        <v>5.6497175141242938E-3</v>
      </c>
      <c r="AD49" s="2">
        <f>('1'!$K49-Data!$O49)*'1'!Y49</f>
        <v>9.2592592592592587E-3</v>
      </c>
      <c r="AE49" s="2">
        <f>('1'!$K49-Data!$O49)</f>
        <v>0.33333333333333331</v>
      </c>
    </row>
    <row r="50" spans="2:31" x14ac:dyDescent="0.25">
      <c r="B50" s="2">
        <f ca="1">B$2*Data!$I50+B$3*Data!$J50+B$4*Data!$K50+B$5*Data!$L50+B$6</f>
        <v>0.1080298586654424</v>
      </c>
      <c r="C50" s="2">
        <f ca="1">C$2*Data!$I50+C$3*Data!$J50+C$4*Data!$K50+C$5*Data!$L50+C$6</f>
        <v>0.12916376880726976</v>
      </c>
      <c r="D50" s="2">
        <f ca="1">D$2*Data!$I50+D$3*Data!$J50+D$4*Data!$K50+D$5*Data!$L50+D$6</f>
        <v>0.15722727648209095</v>
      </c>
      <c r="E50" s="2">
        <f ca="1">EXP(B50)</f>
        <v>1.114081009861998</v>
      </c>
      <c r="F50" s="2">
        <f ca="1">EXP(C50)</f>
        <v>1.1378764575777927</v>
      </c>
      <c r="G50" s="2">
        <f ca="1">EXP(D50)</f>
        <v>1.1702615566082195</v>
      </c>
      <c r="H50" s="2">
        <f ca="1">SUM(E50:G50)</f>
        <v>3.4222190240480104</v>
      </c>
      <c r="I50" s="2">
        <f ca="1">E50/'1'!$H50</f>
        <v>0.32560963145540139</v>
      </c>
      <c r="J50" s="2">
        <f ca="1">F50/H50</f>
        <v>0.33249667820262496</v>
      </c>
      <c r="K50" s="2">
        <f ca="1">G50/H50</f>
        <v>0.3419598653343825</v>
      </c>
      <c r="L50" s="2">
        <f ca="1">-Data!$M50*LOG(I50)</f>
        <v>0.48730275726542699</v>
      </c>
      <c r="M50" s="2">
        <f ca="1">-Data!$N50*LOG(J50)</f>
        <v>0</v>
      </c>
      <c r="N50" s="2">
        <f ca="1">-Data!$O50*LOG(K50)</f>
        <v>0</v>
      </c>
      <c r="O50" s="2">
        <f ca="1">SUM(L50:N50)</f>
        <v>0.48730275726542699</v>
      </c>
      <c r="P50" s="2"/>
      <c r="Q50" s="2">
        <f ca="1">(I50-'1'!Z50)*'1'!V50</f>
        <v>-1.4303151625799865E-4</v>
      </c>
      <c r="R50" s="2">
        <f>('1'!$I50-Data!$M50)*'1'!W50</f>
        <v>-2.7777777777777755E-2</v>
      </c>
      <c r="S50" s="2">
        <f>('1'!$I50-Data!$M50)*'1'!X50</f>
        <v>-1.1299435028248589E-2</v>
      </c>
      <c r="T50" s="2">
        <f>('1'!$I50-Data!$M50)*'1'!Y50</f>
        <v>-1.8518518518518521E-2</v>
      </c>
      <c r="U50" s="2">
        <f>('1'!$I50-Data!$M50)</f>
        <v>-0.66666666666666674</v>
      </c>
      <c r="V50" s="2">
        <f>('1'!$J50-Data!$N50)*'1'!V50</f>
        <v>6.1728395061728435E-3</v>
      </c>
      <c r="W50" s="2">
        <f>('1'!$J50-Data!$N50)*'1'!W50</f>
        <v>1.3888888888888876E-2</v>
      </c>
      <c r="X50" s="2">
        <f>('1'!$J50-Data!$N50)*'1'!X50</f>
        <v>5.6497175141242938E-3</v>
      </c>
      <c r="Y50" s="2">
        <f>('1'!$J50-Data!$N50)*'1'!Y50</f>
        <v>9.2592592592592587E-3</v>
      </c>
      <c r="Z50" s="2">
        <f>('1'!$J50-Data!$N50)</f>
        <v>0.33333333333333331</v>
      </c>
      <c r="AA50" s="2">
        <f>('1'!$K50-Data!$O50)*'1'!V50</f>
        <v>6.1728395061728435E-3</v>
      </c>
      <c r="AB50" s="2">
        <f>('1'!$K50-Data!$O50)*'1'!W50</f>
        <v>1.3888888888888876E-2</v>
      </c>
      <c r="AC50" s="2">
        <f>('1'!$K50-Data!$O50)*'1'!X50</f>
        <v>5.6497175141242938E-3</v>
      </c>
      <c r="AD50" s="2">
        <f>('1'!$K50-Data!$O50)*'1'!Y50</f>
        <v>9.2592592592592587E-3</v>
      </c>
      <c r="AE50" s="2">
        <f>('1'!$K50-Data!$O50)</f>
        <v>0.33333333333333331</v>
      </c>
    </row>
    <row r="51" spans="2:31" x14ac:dyDescent="0.25">
      <c r="B51" s="2">
        <f ca="1">B$2*Data!$I51+B$3*Data!$J51+B$4*Data!$K51+B$5*Data!$L51+B$6</f>
        <v>0.17854040393293211</v>
      </c>
      <c r="C51" s="2">
        <f ca="1">C$2*Data!$I51+C$3*Data!$J51+C$4*Data!$K51+C$5*Data!$L51+C$6</f>
        <v>0.13606899000068542</v>
      </c>
      <c r="D51" s="2">
        <f ca="1">D$2*Data!$I51+D$3*Data!$J51+D$4*Data!$K51+D$5*Data!$L51+D$6</f>
        <v>0.17147817668785231</v>
      </c>
      <c r="E51" s="2">
        <f ca="1">EXP(B51)</f>
        <v>1.1954711840352437</v>
      </c>
      <c r="F51" s="2">
        <f ca="1">EXP(C51)</f>
        <v>1.1457609369160542</v>
      </c>
      <c r="G51" s="2">
        <f ca="1">EXP(D51)</f>
        <v>1.187058236907172</v>
      </c>
      <c r="H51" s="2">
        <f ca="1">SUM(E51:G51)</f>
        <v>3.5282903578584697</v>
      </c>
      <c r="I51" s="2">
        <f ca="1">E51/'1'!$H51</f>
        <v>0.33888275904570841</v>
      </c>
      <c r="J51" s="2">
        <f ca="1">F51/H51</f>
        <v>0.32473544428227979</v>
      </c>
      <c r="K51" s="2">
        <f ca="1">G51/H51</f>
        <v>0.33644006487823996</v>
      </c>
      <c r="L51" s="2">
        <f ca="1">-Data!$M51*LOG(I51)</f>
        <v>0.4699505257090329</v>
      </c>
      <c r="M51" s="2">
        <f ca="1">-Data!$N51*LOG(J51)</f>
        <v>0</v>
      </c>
      <c r="N51" s="2">
        <f ca="1">-Data!$O51*LOG(K51)</f>
        <v>0</v>
      </c>
      <c r="O51" s="2">
        <f ca="1">SUM(L51:N51)</f>
        <v>0.4699505257090329</v>
      </c>
      <c r="P51" s="2"/>
      <c r="Q51" s="2">
        <f ca="1">(I51-'1'!Z51)*'1'!V51</f>
        <v>5.1383571410880824E-5</v>
      </c>
      <c r="R51" s="2">
        <f>('1'!$I51-Data!$M51)*'1'!W51</f>
        <v>-0.11111111111111112</v>
      </c>
      <c r="S51" s="2">
        <f>('1'!$I51-Data!$M51)*'1'!X51</f>
        <v>-1.1299435028248589E-2</v>
      </c>
      <c r="T51" s="2">
        <f>('1'!$I51-Data!$M51)*'1'!Y51</f>
        <v>-9.2592592592592605E-3</v>
      </c>
      <c r="U51" s="2">
        <f>('1'!$I51-Data!$M51)</f>
        <v>-0.66666666666666674</v>
      </c>
      <c r="V51" s="2">
        <f>('1'!$J51-Data!$N51)*'1'!V51</f>
        <v>3.0864197530864356E-3</v>
      </c>
      <c r="W51" s="2">
        <f>('1'!$J51-Data!$N51)*'1'!W51</f>
        <v>5.5555555555555552E-2</v>
      </c>
      <c r="X51" s="2">
        <f>('1'!$J51-Data!$N51)*'1'!X51</f>
        <v>5.6497175141242938E-3</v>
      </c>
      <c r="Y51" s="2">
        <f>('1'!$J51-Data!$N51)*'1'!Y51</f>
        <v>4.6296296296296294E-3</v>
      </c>
      <c r="Z51" s="2">
        <f>('1'!$J51-Data!$N51)</f>
        <v>0.33333333333333331</v>
      </c>
      <c r="AA51" s="2">
        <f>('1'!$K51-Data!$O51)*'1'!V51</f>
        <v>3.0864197530864356E-3</v>
      </c>
      <c r="AB51" s="2">
        <f>('1'!$K51-Data!$O51)*'1'!W51</f>
        <v>5.5555555555555552E-2</v>
      </c>
      <c r="AC51" s="2">
        <f>('1'!$K51-Data!$O51)*'1'!X51</f>
        <v>5.6497175141242938E-3</v>
      </c>
      <c r="AD51" s="2">
        <f>('1'!$K51-Data!$O51)*'1'!Y51</f>
        <v>4.6296296296296294E-3</v>
      </c>
      <c r="AE51" s="2">
        <f>('1'!$K51-Data!$O51)</f>
        <v>0.33333333333333331</v>
      </c>
    </row>
    <row r="52" spans="2:31" x14ac:dyDescent="0.25">
      <c r="B52" s="2">
        <f ca="1">B$2*Data!$I52+B$3*Data!$J52+B$4*Data!$K52+B$5*Data!$L52+B$6</f>
        <v>0.17651882226915586</v>
      </c>
      <c r="C52" s="2">
        <f ca="1">C$2*Data!$I52+C$3*Data!$J52+C$4*Data!$K52+C$5*Data!$L52+C$6</f>
        <v>0.18831789255281139</v>
      </c>
      <c r="D52" s="2">
        <f ca="1">D$2*Data!$I52+D$3*Data!$J52+D$4*Data!$K52+D$5*Data!$L52+D$6</f>
        <v>0.2740050930876381</v>
      </c>
      <c r="E52" s="2">
        <f ca="1">EXP(B52)</f>
        <v>1.1930568825860246</v>
      </c>
      <c r="F52" s="2">
        <f ca="1">EXP(C52)</f>
        <v>1.2072172197217681</v>
      </c>
      <c r="G52" s="2">
        <f ca="1">EXP(D52)</f>
        <v>1.3152215007600332</v>
      </c>
      <c r="H52" s="2">
        <f ca="1">SUM(E52:G52)</f>
        <v>3.7154956030678261</v>
      </c>
      <c r="I52" s="2">
        <f ca="1">E52/'1'!$H52</f>
        <v>0.32140902824527046</v>
      </c>
      <c r="J52" s="2">
        <f ca="1">F52/H52</f>
        <v>0.32491418337973216</v>
      </c>
      <c r="K52" s="2">
        <f ca="1">G52/H52</f>
        <v>0.35398279025658796</v>
      </c>
      <c r="L52" s="2">
        <f ca="1">-Data!$M52*LOG(I52)</f>
        <v>0.49294192825085331</v>
      </c>
      <c r="M52" s="2">
        <f ca="1">-Data!$N52*LOG(J52)</f>
        <v>0</v>
      </c>
      <c r="N52" s="2">
        <f ca="1">-Data!$O52*LOG(K52)</f>
        <v>0</v>
      </c>
      <c r="O52" s="2">
        <f ca="1">SUM(L52:N52)</f>
        <v>0.49294192825085331</v>
      </c>
      <c r="P52" s="2"/>
      <c r="Q52" s="2">
        <f ca="1">(I52-'1'!Z52)*'1'!V52</f>
        <v>-7.7287162607814837E-4</v>
      </c>
      <c r="R52" s="2">
        <f>('1'!$I52-Data!$M52)*'1'!W52</f>
        <v>-0.13888888888888887</v>
      </c>
      <c r="S52" s="2">
        <f>('1'!$I52-Data!$M52)*'1'!X52</f>
        <v>-2.2598870056497179E-2</v>
      </c>
      <c r="T52" s="2">
        <f>('1'!$I52-Data!$M52)*'1'!Y52</f>
        <v>-4.6296296296296301E-2</v>
      </c>
      <c r="U52" s="2">
        <f>('1'!$I52-Data!$M52)</f>
        <v>-0.66666666666666674</v>
      </c>
      <c r="V52" s="2">
        <f>('1'!$J52-Data!$N52)*'1'!V52</f>
        <v>2.1604938271604941E-2</v>
      </c>
      <c r="W52" s="2">
        <f>('1'!$J52-Data!$N52)*'1'!W52</f>
        <v>6.944444444444442E-2</v>
      </c>
      <c r="X52" s="2">
        <f>('1'!$J52-Data!$N52)*'1'!X52</f>
        <v>1.1299435028248588E-2</v>
      </c>
      <c r="Y52" s="2">
        <f>('1'!$J52-Data!$N52)*'1'!Y52</f>
        <v>2.3148148148148147E-2</v>
      </c>
      <c r="Z52" s="2">
        <f>('1'!$J52-Data!$N52)</f>
        <v>0.33333333333333331</v>
      </c>
      <c r="AA52" s="2">
        <f>('1'!$K52-Data!$O52)*'1'!V52</f>
        <v>2.1604938271604941E-2</v>
      </c>
      <c r="AB52" s="2">
        <f>('1'!$K52-Data!$O52)*'1'!W52</f>
        <v>6.944444444444442E-2</v>
      </c>
      <c r="AC52" s="2">
        <f>('1'!$K52-Data!$O52)*'1'!X52</f>
        <v>1.1299435028248588E-2</v>
      </c>
      <c r="AD52" s="2">
        <f>('1'!$K52-Data!$O52)*'1'!Y52</f>
        <v>2.3148148148148147E-2</v>
      </c>
      <c r="AE52" s="2">
        <f>('1'!$K52-Data!$O52)</f>
        <v>0.33333333333333331</v>
      </c>
    </row>
    <row r="53" spans="2:31" x14ac:dyDescent="0.25">
      <c r="B53" s="2">
        <f ca="1">B$2*Data!$I53+B$3*Data!$J53+B$4*Data!$K53+B$5*Data!$L53+B$6</f>
        <v>0.20148283731319855</v>
      </c>
      <c r="C53" s="2">
        <f ca="1">C$2*Data!$I53+C$3*Data!$J53+C$4*Data!$K53+C$5*Data!$L53+C$6</f>
        <v>0.19325841033127483</v>
      </c>
      <c r="D53" s="2">
        <f ca="1">D$2*Data!$I53+D$3*Data!$J53+D$4*Data!$K53+D$5*Data!$L53+D$6</f>
        <v>0.28018813088660077</v>
      </c>
      <c r="E53" s="2">
        <f ca="1">EXP(B53)</f>
        <v>1.2232152432225447</v>
      </c>
      <c r="F53" s="2">
        <f ca="1">EXP(C53)</f>
        <v>1.2131962554627485</v>
      </c>
      <c r="G53" s="2">
        <f ca="1">EXP(D53)</f>
        <v>1.3233787573385076</v>
      </c>
      <c r="H53" s="2">
        <f ca="1">SUM(E53:G53)</f>
        <v>3.759790256023801</v>
      </c>
      <c r="I53" s="2">
        <f ca="1">E53/'1'!$H53</f>
        <v>0.32559340145351329</v>
      </c>
      <c r="J53" s="2">
        <f ca="1">F53/H53</f>
        <v>0.32267657843918524</v>
      </c>
      <c r="K53" s="2">
        <f ca="1">G53/H53</f>
        <v>0.35198207006846666</v>
      </c>
      <c r="L53" s="2">
        <f ca="1">-Data!$M53*LOG(I53)</f>
        <v>0.48732440519980857</v>
      </c>
      <c r="M53" s="2">
        <f ca="1">-Data!$N53*LOG(J53)</f>
        <v>0</v>
      </c>
      <c r="N53" s="2">
        <f ca="1">-Data!$O53*LOG(K53)</f>
        <v>0</v>
      </c>
      <c r="O53" s="2">
        <f ca="1">SUM(L53:N53)</f>
        <v>0.48732440519980857</v>
      </c>
      <c r="P53" s="2"/>
      <c r="Q53" s="2">
        <f ca="1">(I53-'1'!Z53)*'1'!V53</f>
        <v>-5.7332828739407589E-4</v>
      </c>
      <c r="R53" s="2">
        <f>('1'!$I53-Data!$M53)*'1'!W53</f>
        <v>-0.16666666666666663</v>
      </c>
      <c r="S53" s="2">
        <f>('1'!$I53-Data!$M53)*'1'!X53</f>
        <v>-3.3898305084745763E-2</v>
      </c>
      <c r="T53" s="2">
        <f>('1'!$I53-Data!$M53)*'1'!Y53</f>
        <v>-2.7777777777777783E-2</v>
      </c>
      <c r="U53" s="2">
        <f>('1'!$I53-Data!$M53)</f>
        <v>-0.66666666666666674</v>
      </c>
      <c r="V53" s="2">
        <f>('1'!$J53-Data!$N53)*'1'!V53</f>
        <v>2.4691358024691346E-2</v>
      </c>
      <c r="W53" s="2">
        <f>('1'!$J53-Data!$N53)*'1'!W53</f>
        <v>8.3333333333333301E-2</v>
      </c>
      <c r="X53" s="2">
        <f>('1'!$J53-Data!$N53)*'1'!X53</f>
        <v>1.6949152542372878E-2</v>
      </c>
      <c r="Y53" s="2">
        <f>('1'!$J53-Data!$N53)*'1'!Y53</f>
        <v>1.388888888888889E-2</v>
      </c>
      <c r="Z53" s="2">
        <f>('1'!$J53-Data!$N53)</f>
        <v>0.33333333333333331</v>
      </c>
      <c r="AA53" s="2">
        <f>('1'!$K53-Data!$O53)*'1'!V53</f>
        <v>2.4691358024691346E-2</v>
      </c>
      <c r="AB53" s="2">
        <f>('1'!$K53-Data!$O53)*'1'!W53</f>
        <v>8.3333333333333301E-2</v>
      </c>
      <c r="AC53" s="2">
        <f>('1'!$K53-Data!$O53)*'1'!X53</f>
        <v>1.6949152542372878E-2</v>
      </c>
      <c r="AD53" s="2">
        <f>('1'!$K53-Data!$O53)*'1'!Y53</f>
        <v>1.388888888888889E-2</v>
      </c>
      <c r="AE53" s="2">
        <f>('1'!$K53-Data!$O53)</f>
        <v>0.33333333333333331</v>
      </c>
    </row>
    <row r="54" spans="2:31" x14ac:dyDescent="0.25">
      <c r="B54" s="2">
        <f ca="1">B$2*Data!$I54+B$3*Data!$J54+B$4*Data!$K54+B$5*Data!$L54+B$6</f>
        <v>0.15635548370755814</v>
      </c>
      <c r="C54" s="2">
        <f ca="1">C$2*Data!$I54+C$3*Data!$J54+C$4*Data!$K54+C$5*Data!$L54+C$6</f>
        <v>0.15289437006950107</v>
      </c>
      <c r="D54" s="2">
        <f ca="1">D$2*Data!$I54+D$3*Data!$J54+D$4*Data!$K54+D$5*Data!$L54+D$6</f>
        <v>0.20275579594045573</v>
      </c>
      <c r="E54" s="2">
        <f ca="1">EXP(B54)</f>
        <v>1.1692417756222906</v>
      </c>
      <c r="F54" s="2">
        <f ca="1">EXP(C54)</f>
        <v>1.1652018922471374</v>
      </c>
      <c r="G54" s="2">
        <f ca="1">EXP(D54)</f>
        <v>1.2247733371035237</v>
      </c>
      <c r="H54" s="2">
        <f ca="1">SUM(E54:G54)</f>
        <v>3.5592170049729517</v>
      </c>
      <c r="I54" s="2">
        <f ca="1">E54/'1'!$H54</f>
        <v>0.32859629292414438</v>
      </c>
      <c r="J54" s="2">
        <f ca="1">F54/H54</f>
        <v>0.32737590616675322</v>
      </c>
      <c r="K54" s="2">
        <f ca="1">G54/H54</f>
        <v>0.344113139320324</v>
      </c>
      <c r="L54" s="2">
        <f ca="1">-Data!$M54*LOG(I54)</f>
        <v>0.48333734038869142</v>
      </c>
      <c r="M54" s="2">
        <f ca="1">-Data!$N54*LOG(J54)</f>
        <v>0</v>
      </c>
      <c r="N54" s="2">
        <f ca="1">-Data!$O54*LOG(K54)</f>
        <v>0</v>
      </c>
      <c r="O54" s="2">
        <f ca="1">SUM(L54:N54)</f>
        <v>0.48333734038869142</v>
      </c>
      <c r="P54" s="2"/>
      <c r="Q54" s="2">
        <f ca="1">(I54-'1'!Z54)*'1'!V54</f>
        <v>-2.1930742635133934E-4</v>
      </c>
      <c r="R54" s="2">
        <f>('1'!$I54-Data!$M54)*'1'!W54</f>
        <v>-9.2592592592592587E-2</v>
      </c>
      <c r="S54" s="2">
        <f>('1'!$I54-Data!$M54)*'1'!X54</f>
        <v>-1.5065913370998114E-2</v>
      </c>
      <c r="T54" s="2">
        <f>('1'!$I54-Data!$M54)*'1'!Y54</f>
        <v>-1.8518518518518521E-2</v>
      </c>
      <c r="U54" s="2">
        <f>('1'!$I54-Data!$M54)</f>
        <v>-0.66666666666666674</v>
      </c>
      <c r="V54" s="2">
        <f>('1'!$J54-Data!$N54)*'1'!V54</f>
        <v>1.5432098765432094E-2</v>
      </c>
      <c r="W54" s="2">
        <f>('1'!$J54-Data!$N54)*'1'!W54</f>
        <v>4.6296296296296287E-2</v>
      </c>
      <c r="X54" s="2">
        <f>('1'!$J54-Data!$N54)*'1'!X54</f>
        <v>7.5329566854990555E-3</v>
      </c>
      <c r="Y54" s="2">
        <f>('1'!$J54-Data!$N54)*'1'!Y54</f>
        <v>9.2592592592592587E-3</v>
      </c>
      <c r="Z54" s="2">
        <f>('1'!$J54-Data!$N54)</f>
        <v>0.33333333333333331</v>
      </c>
      <c r="AA54" s="2">
        <f>('1'!$K54-Data!$O54)*'1'!V54</f>
        <v>1.5432098765432094E-2</v>
      </c>
      <c r="AB54" s="2">
        <f>('1'!$K54-Data!$O54)*'1'!W54</f>
        <v>4.6296296296296287E-2</v>
      </c>
      <c r="AC54" s="2">
        <f>('1'!$K54-Data!$O54)*'1'!X54</f>
        <v>7.5329566854990555E-3</v>
      </c>
      <c r="AD54" s="2">
        <f>('1'!$K54-Data!$O54)*'1'!Y54</f>
        <v>9.2592592592592587E-3</v>
      </c>
      <c r="AE54" s="2">
        <f>('1'!$K54-Data!$O54)</f>
        <v>0.33333333333333331</v>
      </c>
    </row>
    <row r="55" spans="2:31" x14ac:dyDescent="0.25">
      <c r="B55" s="2">
        <f ca="1">B$2*Data!$I55+B$3*Data!$J55+B$4*Data!$K55+B$5*Data!$L55+B$6</f>
        <v>0.21452679552018467</v>
      </c>
      <c r="C55" s="2">
        <f ca="1">C$2*Data!$I55+C$3*Data!$J55+C$4*Data!$K55+C$5*Data!$L55+C$6</f>
        <v>0.1754693843223587</v>
      </c>
      <c r="D55" s="2">
        <f ca="1">D$2*Data!$I55+D$3*Data!$J55+D$4*Data!$K55+D$5*Data!$L55+D$6</f>
        <v>0.24467896140039525</v>
      </c>
      <c r="E55" s="2">
        <f ca="1">EXP(B55)</f>
        <v>1.2392753275566468</v>
      </c>
      <c r="F55" s="2">
        <f ca="1">EXP(C55)</f>
        <v>1.191805500159701</v>
      </c>
      <c r="G55" s="2">
        <f ca="1">EXP(D55)</f>
        <v>1.2772112132801452</v>
      </c>
      <c r="H55" s="2">
        <f ca="1">SUM(E55:G55)</f>
        <v>3.7082920409964926</v>
      </c>
      <c r="I55" s="2">
        <f ca="1">E55/'1'!$H55</f>
        <v>0.33432427507086288</v>
      </c>
      <c r="J55" s="2">
        <f ca="1">F55/H55</f>
        <v>0.32138933152617583</v>
      </c>
      <c r="K55" s="2">
        <f ca="1">G55/H55</f>
        <v>0.34442034207665395</v>
      </c>
      <c r="L55" s="2">
        <f ca="1">-Data!$M55*LOG(I55)</f>
        <v>0.47583208841918395</v>
      </c>
      <c r="M55" s="2">
        <f ca="1">-Data!$N55*LOG(J55)</f>
        <v>0</v>
      </c>
      <c r="N55" s="2">
        <f ca="1">-Data!$O55*LOG(K55)</f>
        <v>0</v>
      </c>
      <c r="O55" s="2">
        <f ca="1">SUM(L55:N55)</f>
        <v>0.47583208841918395</v>
      </c>
      <c r="P55" s="2"/>
      <c r="Q55" s="2">
        <f ca="1">(I55-'1'!Z55)*'1'!V55</f>
        <v>7.3403091668856291E-5</v>
      </c>
      <c r="R55" s="2">
        <f>('1'!$I55-Data!$M55)*'1'!W55</f>
        <v>-0.16666666666666663</v>
      </c>
      <c r="S55" s="2">
        <f>('1'!$I55-Data!$M55)*'1'!X55</f>
        <v>-2.2598870056497179E-2</v>
      </c>
      <c r="T55" s="2">
        <f>('1'!$I55-Data!$M55)*'1'!Y55</f>
        <v>-9.2592592592592605E-3</v>
      </c>
      <c r="U55" s="2">
        <f>('1'!$I55-Data!$M55)</f>
        <v>-0.66666666666666674</v>
      </c>
      <c r="V55" s="2">
        <f>('1'!$J55-Data!$N55)*'1'!V55</f>
        <v>2.4691358024691346E-2</v>
      </c>
      <c r="W55" s="2">
        <f>('1'!$J55-Data!$N55)*'1'!W55</f>
        <v>8.3333333333333301E-2</v>
      </c>
      <c r="X55" s="2">
        <f>('1'!$J55-Data!$N55)*'1'!X55</f>
        <v>1.1299435028248588E-2</v>
      </c>
      <c r="Y55" s="2">
        <f>('1'!$J55-Data!$N55)*'1'!Y55</f>
        <v>4.6296296296296294E-3</v>
      </c>
      <c r="Z55" s="2">
        <f>('1'!$J55-Data!$N55)</f>
        <v>0.33333333333333331</v>
      </c>
      <c r="AA55" s="2">
        <f>('1'!$K55-Data!$O55)*'1'!V55</f>
        <v>2.4691358024691346E-2</v>
      </c>
      <c r="AB55" s="2">
        <f>('1'!$K55-Data!$O55)*'1'!W55</f>
        <v>8.3333333333333301E-2</v>
      </c>
      <c r="AC55" s="2">
        <f>('1'!$K55-Data!$O55)*'1'!X55</f>
        <v>1.1299435028248588E-2</v>
      </c>
      <c r="AD55" s="2">
        <f>('1'!$K55-Data!$O55)*'1'!Y55</f>
        <v>4.6296296296296294E-3</v>
      </c>
      <c r="AE55" s="2">
        <f>('1'!$K55-Data!$O55)</f>
        <v>0.33333333333333331</v>
      </c>
    </row>
    <row r="56" spans="2:31" x14ac:dyDescent="0.25">
      <c r="B56" s="2">
        <f ca="1">B$2*Data!$I56+B$3*Data!$J56+B$4*Data!$K56+B$5*Data!$L56+B$6</f>
        <v>0.17603398164994499</v>
      </c>
      <c r="C56" s="2">
        <f ca="1">C$2*Data!$I56+C$3*Data!$J56+C$4*Data!$K56+C$5*Data!$L56+C$6</f>
        <v>0.14475458097485086</v>
      </c>
      <c r="D56" s="2">
        <f ca="1">D$2*Data!$I56+D$3*Data!$J56+D$4*Data!$K56+D$5*Data!$L56+D$6</f>
        <v>0.18705042042605247</v>
      </c>
      <c r="E56" s="2">
        <f ca="1">EXP(B56)</f>
        <v>1.1924785803518529</v>
      </c>
      <c r="F56" s="2">
        <f ca="1">EXP(C56)</f>
        <v>1.1557558909752241</v>
      </c>
      <c r="G56" s="2">
        <f ca="1">EXP(D56)</f>
        <v>1.2056880748238077</v>
      </c>
      <c r="H56" s="2">
        <f ca="1">SUM(E56:G56)</f>
        <v>3.5539225461508845</v>
      </c>
      <c r="I56" s="2">
        <f ca="1">E56/'1'!$H56</f>
        <v>0.33559239416658132</v>
      </c>
      <c r="J56" s="2">
        <f ca="1">F56/H56</f>
        <v>0.32520570608016725</v>
      </c>
      <c r="K56" s="2">
        <f ca="1">G56/H56</f>
        <v>0.339255585671005</v>
      </c>
      <c r="L56" s="2">
        <f ca="1">-Data!$M56*LOG(I56)</f>
        <v>0.47418789053974708</v>
      </c>
      <c r="M56" s="2">
        <f ca="1">-Data!$N56*LOG(J56)</f>
        <v>0</v>
      </c>
      <c r="N56" s="2">
        <f ca="1">-Data!$O56*LOG(K56)</f>
        <v>0</v>
      </c>
      <c r="O56" s="2">
        <f ca="1">SUM(L56:N56)</f>
        <v>0.47418789053974708</v>
      </c>
      <c r="P56" s="2"/>
      <c r="Q56" s="2">
        <f ca="1">(I56-'1'!Z56)*'1'!V56</f>
        <v>6.2751689812444547E-5</v>
      </c>
      <c r="R56" s="2">
        <f>('1'!$I56-Data!$M56)*'1'!W56</f>
        <v>-0.11111111111111112</v>
      </c>
      <c r="S56" s="2">
        <f>('1'!$I56-Data!$M56)*'1'!X56</f>
        <v>-1.5065913370998114E-2</v>
      </c>
      <c r="T56" s="2">
        <f>('1'!$I56-Data!$M56)*'1'!Y56</f>
        <v>-9.2592592592592605E-3</v>
      </c>
      <c r="U56" s="2">
        <f>('1'!$I56-Data!$M56)</f>
        <v>-0.66666666666666674</v>
      </c>
      <c r="V56" s="2">
        <f>('1'!$J56-Data!$N56)*'1'!V56</f>
        <v>9.2592592592592518E-3</v>
      </c>
      <c r="W56" s="2">
        <f>('1'!$J56-Data!$N56)*'1'!W56</f>
        <v>5.5555555555555552E-2</v>
      </c>
      <c r="X56" s="2">
        <f>('1'!$J56-Data!$N56)*'1'!X56</f>
        <v>7.5329566854990555E-3</v>
      </c>
      <c r="Y56" s="2">
        <f>('1'!$J56-Data!$N56)*'1'!Y56</f>
        <v>4.6296296296296294E-3</v>
      </c>
      <c r="Z56" s="2">
        <f>('1'!$J56-Data!$N56)</f>
        <v>0.33333333333333331</v>
      </c>
      <c r="AA56" s="2">
        <f>('1'!$K56-Data!$O56)*'1'!V56</f>
        <v>9.2592592592592518E-3</v>
      </c>
      <c r="AB56" s="2">
        <f>('1'!$K56-Data!$O56)*'1'!W56</f>
        <v>5.5555555555555552E-2</v>
      </c>
      <c r="AC56" s="2">
        <f>('1'!$K56-Data!$O56)*'1'!X56</f>
        <v>7.5329566854990555E-3</v>
      </c>
      <c r="AD56" s="2">
        <f>('1'!$K56-Data!$O56)*'1'!Y56</f>
        <v>4.6296296296296294E-3</v>
      </c>
      <c r="AE56" s="2">
        <f>('1'!$K56-Data!$O56)</f>
        <v>0.33333333333333331</v>
      </c>
    </row>
    <row r="57" spans="2:31" x14ac:dyDescent="0.25">
      <c r="B57" s="2">
        <f ca="1">B$2*Data!$I57+B$3*Data!$J57+B$4*Data!$K57+B$5*Data!$L57+B$6</f>
        <v>0.20789612932580559</v>
      </c>
      <c r="C57" s="2">
        <f ca="1">C$2*Data!$I57+C$3*Data!$J57+C$4*Data!$K57+C$5*Data!$L57+C$6</f>
        <v>0.17762355672267888</v>
      </c>
      <c r="D57" s="2">
        <f ca="1">D$2*Data!$I57+D$3*Data!$J57+D$4*Data!$K57+D$5*Data!$L57+D$6</f>
        <v>0.24823737609840907</v>
      </c>
      <c r="E57" s="2">
        <f ca="1">EXP(B57)</f>
        <v>1.2310852892484911</v>
      </c>
      <c r="F57" s="2">
        <f ca="1">EXP(C57)</f>
        <v>1.1943756219235007</v>
      </c>
      <c r="G57" s="2">
        <f ca="1">EXP(D57)</f>
        <v>1.2817641562593252</v>
      </c>
      <c r="H57" s="2">
        <f ca="1">SUM(E57:G57)</f>
        <v>3.7072250674313167</v>
      </c>
      <c r="I57" s="2">
        <f ca="1">E57/'1'!$H57</f>
        <v>0.33221646703447721</v>
      </c>
      <c r="J57" s="2">
        <f ca="1">F57/H57</f>
        <v>0.3221751040734806</v>
      </c>
      <c r="K57" s="2">
        <f ca="1">G57/H57</f>
        <v>0.34574759636793273</v>
      </c>
      <c r="L57" s="2">
        <f ca="1">-Data!$M57*LOG(I57)</f>
        <v>0.47857884459695743</v>
      </c>
      <c r="M57" s="2">
        <f ca="1">-Data!$N57*LOG(J57)</f>
        <v>0</v>
      </c>
      <c r="N57" s="2">
        <f ca="1">-Data!$O57*LOG(K57)</f>
        <v>0</v>
      </c>
      <c r="O57" s="2">
        <f ca="1">SUM(L57:N57)</f>
        <v>0.47857884459695743</v>
      </c>
      <c r="P57" s="2"/>
      <c r="Q57" s="2">
        <f ca="1">(I57-'1'!Z57)*'1'!V57</f>
        <v>-1.0341354619038483E-4</v>
      </c>
      <c r="R57" s="2">
        <f>('1'!$I57-Data!$M57)*'1'!W57</f>
        <v>-0.15740740740740738</v>
      </c>
      <c r="S57" s="2">
        <f>('1'!$I57-Data!$M57)*'1'!X57</f>
        <v>-1.8832391713747648E-2</v>
      </c>
      <c r="T57" s="2">
        <f>('1'!$I57-Data!$M57)*'1'!Y57</f>
        <v>-9.2592592592592605E-3</v>
      </c>
      <c r="U57" s="2">
        <f>('1'!$I57-Data!$M57)</f>
        <v>-0.66666666666666663</v>
      </c>
      <c r="V57" s="2">
        <f>('1'!$J57-Data!$N57)*'1'!V57</f>
        <v>3.0864197530864199E-2</v>
      </c>
      <c r="W57" s="2">
        <f>('1'!$J57-Data!$N57)*'1'!W57</f>
        <v>7.8703703703703706E-2</v>
      </c>
      <c r="X57" s="2">
        <f>('1'!$J57-Data!$N57)*'1'!X57</f>
        <v>9.4161958568738258E-3</v>
      </c>
      <c r="Y57" s="2">
        <f>('1'!$J57-Data!$N57)*'1'!Y57</f>
        <v>4.6296296296296311E-3</v>
      </c>
      <c r="Z57" s="2">
        <f>('1'!$J57-Data!$N57)</f>
        <v>0.33333333333333337</v>
      </c>
      <c r="AA57" s="2">
        <f>('1'!$K57-Data!$O57)*'1'!V57</f>
        <v>3.0864197530864199E-2</v>
      </c>
      <c r="AB57" s="2">
        <f>('1'!$K57-Data!$O57)*'1'!W57</f>
        <v>7.8703703703703706E-2</v>
      </c>
      <c r="AC57" s="2">
        <f>('1'!$K57-Data!$O57)*'1'!X57</f>
        <v>9.4161958568738258E-3</v>
      </c>
      <c r="AD57" s="2">
        <f>('1'!$K57-Data!$O57)*'1'!Y57</f>
        <v>4.6296296296296311E-3</v>
      </c>
      <c r="AE57" s="2">
        <f>('1'!$K57-Data!$O57)</f>
        <v>0.33333333333333337</v>
      </c>
    </row>
    <row r="58" spans="2:31" x14ac:dyDescent="0.25">
      <c r="B58" s="2">
        <f ca="1">B$2*Data!$I58+B$3*Data!$J58+B$4*Data!$K58+B$5*Data!$L58+B$6</f>
        <v>0.18154967095035646</v>
      </c>
      <c r="C58" s="2">
        <f ca="1">C$2*Data!$I58+C$3*Data!$J58+C$4*Data!$K58+C$5*Data!$L58+C$6</f>
        <v>0.15899712212711423</v>
      </c>
      <c r="D58" s="2">
        <f ca="1">D$2*Data!$I58+D$3*Data!$J58+D$4*Data!$K58+D$5*Data!$L58+D$6</f>
        <v>0.21312552330671092</v>
      </c>
      <c r="E58" s="2">
        <f ca="1">EXP(B58)</f>
        <v>1.1990740943803742</v>
      </c>
      <c r="F58" s="2">
        <f ca="1">EXP(C58)</f>
        <v>1.1723345728459826</v>
      </c>
      <c r="G58" s="2">
        <f ca="1">EXP(D58)</f>
        <v>1.2375399816052846</v>
      </c>
      <c r="H58" s="2">
        <f ca="1">SUM(E58:G58)</f>
        <v>3.6089486488316411</v>
      </c>
      <c r="I58" s="2">
        <f ca="1">E58/'1'!$H58</f>
        <v>0.33233225031923153</v>
      </c>
      <c r="J58" s="2">
        <f ca="1">F58/H58</f>
        <v>0.32484102350015803</v>
      </c>
      <c r="K58" s="2">
        <f ca="1">G58/H58</f>
        <v>0.34290872551093932</v>
      </c>
      <c r="L58" s="2">
        <f ca="1">-Data!$M58*LOG(I58)</f>
        <v>0.47842751169731856</v>
      </c>
      <c r="M58" s="2">
        <f ca="1">-Data!$N58*LOG(J58)</f>
        <v>0</v>
      </c>
      <c r="N58" s="2">
        <f ca="1">-Data!$O58*LOG(K58)</f>
        <v>0</v>
      </c>
      <c r="O58" s="2">
        <f ca="1">SUM(L58:N58)</f>
        <v>0.47842751169731856</v>
      </c>
      <c r="P58" s="2"/>
      <c r="Q58" s="2">
        <f ca="1">(I58-'1'!Z58)*'1'!V58</f>
        <v>-6.4885010173264113E-5</v>
      </c>
      <c r="R58" s="2">
        <f>('1'!$I58-Data!$M58)*'1'!W58</f>
        <v>-0.12037037037037035</v>
      </c>
      <c r="S58" s="2">
        <f>('1'!$I58-Data!$M58)*'1'!X58</f>
        <v>-1.5065913370998114E-2</v>
      </c>
      <c r="T58" s="2">
        <f>('1'!$I58-Data!$M58)*'1'!Y58</f>
        <v>-9.2592592592592605E-3</v>
      </c>
      <c r="U58" s="2">
        <f>('1'!$I58-Data!$M58)</f>
        <v>-0.66666666666666674</v>
      </c>
      <c r="V58" s="2">
        <f>('1'!$J58-Data!$N58)*'1'!V58</f>
        <v>2.1604938271604941E-2</v>
      </c>
      <c r="W58" s="2">
        <f>('1'!$J58-Data!$N58)*'1'!W58</f>
        <v>6.0185185185185161E-2</v>
      </c>
      <c r="X58" s="2">
        <f>('1'!$J58-Data!$N58)*'1'!X58</f>
        <v>7.5329566854990555E-3</v>
      </c>
      <c r="Y58" s="2">
        <f>('1'!$J58-Data!$N58)*'1'!Y58</f>
        <v>4.6296296296296294E-3</v>
      </c>
      <c r="Z58" s="2">
        <f>('1'!$J58-Data!$N58)</f>
        <v>0.33333333333333331</v>
      </c>
      <c r="AA58" s="2">
        <f>('1'!$K58-Data!$O58)*'1'!V58</f>
        <v>2.1604938271604941E-2</v>
      </c>
      <c r="AB58" s="2">
        <f>('1'!$K58-Data!$O58)*'1'!W58</f>
        <v>6.0185185185185161E-2</v>
      </c>
      <c r="AC58" s="2">
        <f>('1'!$K58-Data!$O58)*'1'!X58</f>
        <v>7.5329566854990555E-3</v>
      </c>
      <c r="AD58" s="2">
        <f>('1'!$K58-Data!$O58)*'1'!Y58</f>
        <v>4.6296296296296294E-3</v>
      </c>
      <c r="AE58" s="2">
        <f>('1'!$K58-Data!$O58)</f>
        <v>0.33333333333333331</v>
      </c>
    </row>
    <row r="59" spans="2:31" x14ac:dyDescent="0.25">
      <c r="B59" s="2">
        <f ca="1">B$2*Data!$I59+B$3*Data!$J59+B$4*Data!$K59+B$5*Data!$L59+B$6</f>
        <v>6.2889947545937658E-2</v>
      </c>
      <c r="C59" s="2">
        <f ca="1">C$2*Data!$I59+C$3*Data!$J59+C$4*Data!$K59+C$5*Data!$L59+C$6</f>
        <v>0.36296087324576776</v>
      </c>
      <c r="D59" s="2">
        <f ca="1">D$2*Data!$I59+D$3*Data!$J59+D$4*Data!$K59+D$5*Data!$L59+D$6</f>
        <v>0.59978477242863437</v>
      </c>
      <c r="E59" s="2">
        <f ca="1">EXP(B59)</f>
        <v>1.0649096368633282</v>
      </c>
      <c r="F59" s="2">
        <f ca="1">EXP(C59)</f>
        <v>1.4375796103166956</v>
      </c>
      <c r="G59" s="2">
        <f ca="1">EXP(D59)</f>
        <v>1.821726672386254</v>
      </c>
      <c r="H59" s="2">
        <f ca="1">SUM(E59:G59)</f>
        <v>4.3242159195662779</v>
      </c>
      <c r="I59" s="2">
        <f ca="1">E59/'1'!$H59</f>
        <v>0.25218284676044772</v>
      </c>
      <c r="J59" s="2">
        <f ca="1">F59/H59</f>
        <v>0.33244861890728294</v>
      </c>
      <c r="K59" s="2">
        <f ca="1">G59/H59</f>
        <v>0.42128485401093813</v>
      </c>
      <c r="L59" s="2">
        <f ca="1">-Data!$M59*LOG(I59)</f>
        <v>0</v>
      </c>
      <c r="M59" s="2">
        <f ca="1">-Data!$N59*LOG(J59)</f>
        <v>0.47827546690026351</v>
      </c>
      <c r="N59" s="2">
        <f ca="1">-Data!$O59*LOG(K59)</f>
        <v>0</v>
      </c>
      <c r="O59" s="2">
        <f ca="1">SUM(L59:N59)</f>
        <v>0.47827546690026351</v>
      </c>
      <c r="P59" s="2"/>
      <c r="Q59" s="2">
        <f ca="1">(I59-'1'!Z59)*'1'!V59</f>
        <v>-0.4594247567135572</v>
      </c>
      <c r="R59" s="2">
        <f>('1'!$I59-Data!$M59)*'1'!W59</f>
        <v>-0.11111111111111112</v>
      </c>
      <c r="S59" s="2">
        <f>('1'!$I59-Data!$M59)*'1'!X59</f>
        <v>-0.13935969868173259</v>
      </c>
      <c r="T59" s="2">
        <f>('1'!$I59-Data!$M59)*'1'!Y59</f>
        <v>-0.12037037037037036</v>
      </c>
      <c r="U59" s="2">
        <f>('1'!$I59-Data!$M59)</f>
        <v>0.33333333333333331</v>
      </c>
      <c r="V59" s="2">
        <f>('1'!$J59-Data!$N59)*'1'!V59</f>
        <v>0.33333333333333337</v>
      </c>
      <c r="W59" s="2">
        <f>('1'!$J59-Data!$N59)*'1'!W59</f>
        <v>0.22222222222222227</v>
      </c>
      <c r="X59" s="2">
        <f>('1'!$J59-Data!$N59)*'1'!X59</f>
        <v>0.27871939736346524</v>
      </c>
      <c r="Y59" s="2">
        <f>('1'!$J59-Data!$N59)*'1'!Y59</f>
        <v>0.24074074074074076</v>
      </c>
      <c r="Z59" s="2">
        <f>('1'!$J59-Data!$N59)</f>
        <v>-0.66666666666666674</v>
      </c>
      <c r="AA59" s="2">
        <f>('1'!$K59-Data!$O59)*'1'!V59</f>
        <v>-0.16666666666666666</v>
      </c>
      <c r="AB59" s="2">
        <f>('1'!$K59-Data!$O59)*'1'!W59</f>
        <v>-0.11111111111111112</v>
      </c>
      <c r="AC59" s="2">
        <f>('1'!$K59-Data!$O59)*'1'!X59</f>
        <v>-0.13935969868173259</v>
      </c>
      <c r="AD59" s="2">
        <f>('1'!$K59-Data!$O59)*'1'!Y59</f>
        <v>-0.12037037037037036</v>
      </c>
      <c r="AE59" s="2">
        <f>('1'!$K59-Data!$O59)</f>
        <v>0.33333333333333331</v>
      </c>
    </row>
    <row r="60" spans="2:31" x14ac:dyDescent="0.25">
      <c r="B60" s="2">
        <f ca="1">B$2*Data!$I60+B$3*Data!$J60+B$4*Data!$K60+B$5*Data!$L60+B$6</f>
        <v>6.4687771535780203E-2</v>
      </c>
      <c r="C60" s="2">
        <f ca="1">C$2*Data!$I60+C$3*Data!$J60+C$4*Data!$K60+C$5*Data!$L60+C$6</f>
        <v>0.34459110590649039</v>
      </c>
      <c r="D60" s="2">
        <f ca="1">D$2*Data!$I60+D$3*Data!$J60+D$4*Data!$K60+D$5*Data!$L60+D$6</f>
        <v>0.56868722425264562</v>
      </c>
      <c r="E60" s="2">
        <f ca="1">EXP(B60)</f>
        <v>1.0668258789723775</v>
      </c>
      <c r="F60" s="2">
        <f ca="1">EXP(C60)</f>
        <v>1.4114126833517144</v>
      </c>
      <c r="G60" s="2">
        <f ca="1">EXP(D60)</f>
        <v>1.7659472363654074</v>
      </c>
      <c r="H60" s="2">
        <f ca="1">SUM(E60:G60)</f>
        <v>4.2441857986894993</v>
      </c>
      <c r="I60" s="2">
        <f ca="1">E60/'1'!$H60</f>
        <v>0.25668305153329807</v>
      </c>
      <c r="J60" s="2">
        <f ca="1">F60/H60</f>
        <v>0.33255204892008361</v>
      </c>
      <c r="K60" s="2">
        <f ca="1">G60/H60</f>
        <v>0.41608622245300586</v>
      </c>
      <c r="L60" s="2">
        <f ca="1">-Data!$M60*LOG(I60)</f>
        <v>0</v>
      </c>
      <c r="M60" s="2">
        <f ca="1">-Data!$N60*LOG(J60)</f>
        <v>0.47814037204590354</v>
      </c>
      <c r="N60" s="2">
        <f ca="1">-Data!$O60*LOG(K60)</f>
        <v>0</v>
      </c>
      <c r="O60" s="2">
        <f ca="1">SUM(L60:N60)</f>
        <v>0.47814037204590354</v>
      </c>
      <c r="P60" s="2"/>
      <c r="Q60" s="2">
        <f ca="1">(I60-'1'!Z60)*'1'!V60</f>
        <v>-0.35908044596665295</v>
      </c>
      <c r="R60" s="2">
        <f>('1'!$I60-Data!$M60)*'1'!W60</f>
        <v>-0.11111111111111112</v>
      </c>
      <c r="S60" s="2">
        <f>('1'!$I60-Data!$M60)*'1'!X60</f>
        <v>-0.13182674199623354</v>
      </c>
      <c r="T60" s="2">
        <f>('1'!$I60-Data!$M60)*'1'!Y60</f>
        <v>-0.12962962962962965</v>
      </c>
      <c r="U60" s="2">
        <f>('1'!$I60-Data!$M60)</f>
        <v>0.33333333333333337</v>
      </c>
      <c r="V60" s="2">
        <f>('1'!$J60-Data!$N60)*'1'!V60</f>
        <v>0.25925925925925924</v>
      </c>
      <c r="W60" s="2">
        <f>('1'!$J60-Data!$N60)*'1'!W60</f>
        <v>0.22222222222222221</v>
      </c>
      <c r="X60" s="2">
        <f>('1'!$J60-Data!$N60)*'1'!X60</f>
        <v>0.26365348399246702</v>
      </c>
      <c r="Y60" s="2">
        <f>('1'!$J60-Data!$N60)*'1'!Y60</f>
        <v>0.25925925925925924</v>
      </c>
      <c r="Z60" s="2">
        <f>('1'!$J60-Data!$N60)</f>
        <v>-0.66666666666666663</v>
      </c>
      <c r="AA60" s="2">
        <f>('1'!$K60-Data!$O60)*'1'!V60</f>
        <v>-0.12962962962962965</v>
      </c>
      <c r="AB60" s="2">
        <f>('1'!$K60-Data!$O60)*'1'!W60</f>
        <v>-0.11111111111111112</v>
      </c>
      <c r="AC60" s="2">
        <f>('1'!$K60-Data!$O60)*'1'!X60</f>
        <v>-0.13182674199623354</v>
      </c>
      <c r="AD60" s="2">
        <f>('1'!$K60-Data!$O60)*'1'!Y60</f>
        <v>-0.12962962962962965</v>
      </c>
      <c r="AE60" s="2">
        <f>('1'!$K60-Data!$O60)</f>
        <v>0.33333333333333337</v>
      </c>
    </row>
    <row r="61" spans="2:31" x14ac:dyDescent="0.25">
      <c r="B61" s="2">
        <f ca="1">B$2*Data!$I61+B$3*Data!$J61+B$4*Data!$K61+B$5*Data!$L61+B$6</f>
        <v>4.8693718206300841E-2</v>
      </c>
      <c r="C61" s="2">
        <f ca="1">C$2*Data!$I61+C$3*Data!$J61+C$4*Data!$K61+C$5*Data!$L61+C$6</f>
        <v>0.36822621671673245</v>
      </c>
      <c r="D61" s="2">
        <f ca="1">D$2*Data!$I61+D$3*Data!$J61+D$4*Data!$K61+D$5*Data!$L61+D$6</f>
        <v>0.61055181648939705</v>
      </c>
      <c r="E61" s="2">
        <f ca="1">EXP(B61)</f>
        <v>1.0498987366220127</v>
      </c>
      <c r="F61" s="2">
        <f ca="1">EXP(C61)</f>
        <v>1.445168923368096</v>
      </c>
      <c r="G61" s="2">
        <f ca="1">EXP(D61)</f>
        <v>1.8414472594336411</v>
      </c>
      <c r="H61" s="2">
        <f ca="1">SUM(E61:G61)</f>
        <v>4.3365149194237498</v>
      </c>
      <c r="I61" s="2">
        <f ca="1">E61/'1'!$H61</f>
        <v>0.24847596603841712</v>
      </c>
      <c r="J61" s="2">
        <f ca="1">F61/H61</f>
        <v>0.33325584028202415</v>
      </c>
      <c r="K61" s="2">
        <f ca="1">G61/H61</f>
        <v>0.42463759347064317</v>
      </c>
      <c r="L61" s="2">
        <f ca="1">-Data!$M61*LOG(I61)</f>
        <v>0</v>
      </c>
      <c r="M61" s="2">
        <f ca="1">-Data!$N61*LOG(J61)</f>
        <v>0.47722223087125071</v>
      </c>
      <c r="N61" s="2">
        <f ca="1">-Data!$O61*LOG(K61)</f>
        <v>0</v>
      </c>
      <c r="O61" s="2">
        <f ca="1">SUM(L61:N61)</f>
        <v>0.47722223087125071</v>
      </c>
      <c r="P61" s="2"/>
      <c r="Q61" s="2">
        <f ca="1">(I61-'1'!Z61)*'1'!V61</f>
        <v>-0.44062423056170696</v>
      </c>
      <c r="R61" s="2">
        <f>('1'!$I61-Data!$M61)*'1'!W61</f>
        <v>-0.10185185185185185</v>
      </c>
      <c r="S61" s="2">
        <f>('1'!$I61-Data!$M61)*'1'!X61</f>
        <v>-0.14689265536723164</v>
      </c>
      <c r="T61" s="2">
        <f>('1'!$I61-Data!$M61)*'1'!Y61</f>
        <v>-0.12962962962962965</v>
      </c>
      <c r="U61" s="2">
        <f>('1'!$I61-Data!$M61)</f>
        <v>0.33333333333333337</v>
      </c>
      <c r="V61" s="2">
        <f>('1'!$J61-Data!$N61)*'1'!V61</f>
        <v>0.32098765432098764</v>
      </c>
      <c r="W61" s="2">
        <f>('1'!$J61-Data!$N61)*'1'!W61</f>
        <v>0.20370370370370366</v>
      </c>
      <c r="X61" s="2">
        <f>('1'!$J61-Data!$N61)*'1'!X61</f>
        <v>0.29378531073446323</v>
      </c>
      <c r="Y61" s="2">
        <f>('1'!$J61-Data!$N61)*'1'!Y61</f>
        <v>0.25925925925925924</v>
      </c>
      <c r="Z61" s="2">
        <f>('1'!$J61-Data!$N61)</f>
        <v>-0.66666666666666663</v>
      </c>
      <c r="AA61" s="2">
        <f>('1'!$K61-Data!$O61)*'1'!V61</f>
        <v>-0.16049382716049385</v>
      </c>
      <c r="AB61" s="2">
        <f>('1'!$K61-Data!$O61)*'1'!W61</f>
        <v>-0.10185185185185185</v>
      </c>
      <c r="AC61" s="2">
        <f>('1'!$K61-Data!$O61)*'1'!X61</f>
        <v>-0.14689265536723164</v>
      </c>
      <c r="AD61" s="2">
        <f>('1'!$K61-Data!$O61)*'1'!Y61</f>
        <v>-0.12962962962962965</v>
      </c>
      <c r="AE61" s="2">
        <f>('1'!$K61-Data!$O61)</f>
        <v>0.33333333333333337</v>
      </c>
    </row>
    <row r="62" spans="2:31" x14ac:dyDescent="0.25">
      <c r="B62" s="2">
        <f ca="1">B$2*Data!$I62+B$3*Data!$J62+B$4*Data!$K62+B$5*Data!$L62+B$6</f>
        <v>1.9070448794337252E-2</v>
      </c>
      <c r="C62" s="2">
        <f ca="1">C$2*Data!$I62+C$3*Data!$J62+C$4*Data!$K62+C$5*Data!$L62+C$6</f>
        <v>0.27844195762002522</v>
      </c>
      <c r="D62" s="2">
        <f ca="1">D$2*Data!$I62+D$3*Data!$J62+D$4*Data!$K62+D$5*Data!$L62+D$6</f>
        <v>0.44252996646699427</v>
      </c>
      <c r="E62" s="2">
        <f ca="1">EXP(B62)</f>
        <v>1.0192534512649389</v>
      </c>
      <c r="F62" s="2">
        <f ca="1">EXP(C62)</f>
        <v>1.3210699251280895</v>
      </c>
      <c r="G62" s="2">
        <f ca="1">EXP(D62)</f>
        <v>1.5566404891306325</v>
      </c>
      <c r="H62" s="2">
        <f ca="1">SUM(E62:G62)</f>
        <v>3.8969638655236611</v>
      </c>
      <c r="I62" s="2">
        <f ca="1">E62/'1'!$H62</f>
        <v>0.2654781787789845</v>
      </c>
      <c r="J62" s="2">
        <f ca="1">F62/H62</f>
        <v>0.33899978822374033</v>
      </c>
      <c r="K62" s="2">
        <f ca="1">G62/H62</f>
        <v>0.39944955684659811</v>
      </c>
      <c r="L62" s="2">
        <f ca="1">-Data!$M62*LOG(I62)</f>
        <v>0</v>
      </c>
      <c r="M62" s="2">
        <f ca="1">-Data!$N62*LOG(J62)</f>
        <v>0.46980057310455708</v>
      </c>
      <c r="N62" s="2">
        <f ca="1">-Data!$O62*LOG(K62)</f>
        <v>0</v>
      </c>
      <c r="O62" s="2">
        <f ca="1">SUM(L62:N62)</f>
        <v>0.46980057310455708</v>
      </c>
      <c r="P62" s="2"/>
      <c r="Q62" s="2">
        <f ca="1">(I62-'1'!Z62)*'1'!V62</f>
        <v>-0.20714329898792253</v>
      </c>
      <c r="R62" s="2">
        <f>('1'!$I62-Data!$M62)*'1'!W62</f>
        <v>-2.7777777777777755E-2</v>
      </c>
      <c r="S62" s="2">
        <f>('1'!$I62-Data!$M62)*'1'!X62</f>
        <v>-0.11299435028248589</v>
      </c>
      <c r="T62" s="2">
        <f>('1'!$I62-Data!$M62)*'1'!Y62</f>
        <v>-0.11111111111111112</v>
      </c>
      <c r="U62" s="2">
        <f>('1'!$I62-Data!$M62)</f>
        <v>0.33333333333333331</v>
      </c>
      <c r="V62" s="2">
        <f>('1'!$J62-Data!$N62)*'1'!V62</f>
        <v>0.14814814814814817</v>
      </c>
      <c r="W62" s="2">
        <f>('1'!$J62-Data!$N62)*'1'!W62</f>
        <v>5.5555555555555525E-2</v>
      </c>
      <c r="X62" s="2">
        <f>('1'!$J62-Data!$N62)*'1'!X62</f>
        <v>0.22598870056497181</v>
      </c>
      <c r="Y62" s="2">
        <f>('1'!$J62-Data!$N62)*'1'!Y62</f>
        <v>0.22222222222222227</v>
      </c>
      <c r="Z62" s="2">
        <f>('1'!$J62-Data!$N62)</f>
        <v>-0.66666666666666674</v>
      </c>
      <c r="AA62" s="2">
        <f>('1'!$K62-Data!$O62)*'1'!V62</f>
        <v>-7.407407407407407E-2</v>
      </c>
      <c r="AB62" s="2">
        <f>('1'!$K62-Data!$O62)*'1'!W62</f>
        <v>-2.7777777777777755E-2</v>
      </c>
      <c r="AC62" s="2">
        <f>('1'!$K62-Data!$O62)*'1'!X62</f>
        <v>-0.11299435028248589</v>
      </c>
      <c r="AD62" s="2">
        <f>('1'!$K62-Data!$O62)*'1'!Y62</f>
        <v>-0.11111111111111112</v>
      </c>
      <c r="AE62" s="2">
        <f>('1'!$K62-Data!$O62)</f>
        <v>0.33333333333333331</v>
      </c>
    </row>
    <row r="63" spans="2:31" x14ac:dyDescent="0.25">
      <c r="B63" s="2">
        <f ca="1">B$2*Data!$I63+B$3*Data!$J63+B$4*Data!$K63+B$5*Data!$L63+B$6</f>
        <v>3.3328468594356869E-2</v>
      </c>
      <c r="C63" s="2">
        <f ca="1">C$2*Data!$I63+C$3*Data!$J63+C$4*Data!$K63+C$5*Data!$L63+C$6</f>
        <v>0.34333585325925664</v>
      </c>
      <c r="D63" s="2">
        <f ca="1">D$2*Data!$I63+D$3*Data!$J63+D$4*Data!$K63+D$5*Data!$L63+D$6</f>
        <v>0.56471985893734777</v>
      </c>
      <c r="E63" s="2">
        <f ca="1">EXP(B63)</f>
        <v>1.0338900838959517</v>
      </c>
      <c r="F63" s="2">
        <f ca="1">EXP(C63)</f>
        <v>1.409642115332179</v>
      </c>
      <c r="G63" s="2">
        <f ca="1">EXP(D63)</f>
        <v>1.7589549581837003</v>
      </c>
      <c r="H63" s="2">
        <f ca="1">SUM(E63:G63)</f>
        <v>4.2024871574118308</v>
      </c>
      <c r="I63" s="2">
        <f ca="1">E63/'1'!$H63</f>
        <v>0.25181047770860554</v>
      </c>
      <c r="J63" s="2">
        <f ca="1">F63/H63</f>
        <v>0.33543043976851311</v>
      </c>
      <c r="K63" s="2">
        <f ca="1">G63/H63</f>
        <v>0.41855094193005959</v>
      </c>
      <c r="L63" s="2">
        <f ca="1">-Data!$M63*LOG(I63)</f>
        <v>0</v>
      </c>
      <c r="M63" s="2">
        <f ca="1">-Data!$N63*LOG(J63)</f>
        <v>0.47439752842152899</v>
      </c>
      <c r="N63" s="2">
        <f ca="1">-Data!$O63*LOG(K63)</f>
        <v>0</v>
      </c>
      <c r="O63" s="2">
        <f ca="1">SUM(L63:N63)</f>
        <v>0.47439752842152899</v>
      </c>
      <c r="P63" s="2"/>
      <c r="Q63" s="2">
        <f ca="1">(I63-'1'!Z63)*'1'!V63</f>
        <v>-0.37419439215288858</v>
      </c>
      <c r="R63" s="2">
        <f>('1'!$I63-Data!$M63)*'1'!W63</f>
        <v>-7.4074074074074056E-2</v>
      </c>
      <c r="S63" s="2">
        <f>('1'!$I63-Data!$M63)*'1'!X63</f>
        <v>-0.13559322033898305</v>
      </c>
      <c r="T63" s="2">
        <f>('1'!$I63-Data!$M63)*'1'!Y63</f>
        <v>-0.12962962962962965</v>
      </c>
      <c r="U63" s="2">
        <f>('1'!$I63-Data!$M63)</f>
        <v>0.33333333333333337</v>
      </c>
      <c r="V63" s="2">
        <f>('1'!$J63-Data!$N63)*'1'!V63</f>
        <v>0.27160493827160487</v>
      </c>
      <c r="W63" s="2">
        <f>('1'!$J63-Data!$N63)*'1'!W63</f>
        <v>0.14814814814814808</v>
      </c>
      <c r="X63" s="2">
        <f>('1'!$J63-Data!$N63)*'1'!X63</f>
        <v>0.27118644067796605</v>
      </c>
      <c r="Y63" s="2">
        <f>('1'!$J63-Data!$N63)*'1'!Y63</f>
        <v>0.25925925925925924</v>
      </c>
      <c r="Z63" s="2">
        <f>('1'!$J63-Data!$N63)</f>
        <v>-0.66666666666666663</v>
      </c>
      <c r="AA63" s="2">
        <f>('1'!$K63-Data!$O63)*'1'!V63</f>
        <v>-0.13580246913580246</v>
      </c>
      <c r="AB63" s="2">
        <f>('1'!$K63-Data!$O63)*'1'!W63</f>
        <v>-7.4074074074074056E-2</v>
      </c>
      <c r="AC63" s="2">
        <f>('1'!$K63-Data!$O63)*'1'!X63</f>
        <v>-0.13559322033898305</v>
      </c>
      <c r="AD63" s="2">
        <f>('1'!$K63-Data!$O63)*'1'!Y63</f>
        <v>-0.12962962962962965</v>
      </c>
      <c r="AE63" s="2">
        <f>('1'!$K63-Data!$O63)</f>
        <v>0.33333333333333337</v>
      </c>
    </row>
    <row r="64" spans="2:31" x14ac:dyDescent="0.25">
      <c r="B64" s="2">
        <f ca="1">B$2*Data!$I64+B$3*Data!$J64+B$4*Data!$K64+B$5*Data!$L64+B$6</f>
        <v>4.6791681000800771E-2</v>
      </c>
      <c r="C64" s="2">
        <f ca="1">C$2*Data!$I64+C$3*Data!$J64+C$4*Data!$K64+C$5*Data!$L64+C$6</f>
        <v>0.30529455240854797</v>
      </c>
      <c r="D64" s="2">
        <f ca="1">D$2*Data!$I64+D$3*Data!$J64+D$4*Data!$K64+D$5*Data!$L64+D$6</f>
        <v>0.49254653495223399</v>
      </c>
      <c r="E64" s="2">
        <f ca="1">EXP(B64)</f>
        <v>1.0479036880926798</v>
      </c>
      <c r="F64" s="2">
        <f ca="1">EXP(C64)</f>
        <v>1.3570246590252879</v>
      </c>
      <c r="G64" s="2">
        <f ca="1">EXP(D64)</f>
        <v>1.6364782674130716</v>
      </c>
      <c r="H64" s="2">
        <f ca="1">SUM(E64:G64)</f>
        <v>4.0414066145310397</v>
      </c>
      <c r="I64" s="2">
        <f ca="1">E64/'1'!$H64</f>
        <v>0.26358882690918506</v>
      </c>
      <c r="J64" s="2">
        <f ca="1">F64/H64</f>
        <v>0.3357802835641559</v>
      </c>
      <c r="K64" s="2">
        <f ca="1">G64/H64</f>
        <v>0.40492789355296455</v>
      </c>
      <c r="L64" s="2">
        <f ca="1">-Data!$M64*LOG(I64)</f>
        <v>0</v>
      </c>
      <c r="M64" s="2">
        <f ca="1">-Data!$N64*LOG(J64)</f>
        <v>0.47394480846801046</v>
      </c>
      <c r="N64" s="2">
        <f ca="1">-Data!$O64*LOG(K64)</f>
        <v>0</v>
      </c>
      <c r="O64" s="2">
        <f ca="1">SUM(L64:N64)</f>
        <v>0.47394480846801046</v>
      </c>
      <c r="P64" s="2"/>
      <c r="Q64" s="2">
        <f ca="1">(I64-'1'!Z64)*'1'!V64</f>
        <v>-0.24117735018633205</v>
      </c>
      <c r="R64" s="2">
        <f>('1'!$I64-Data!$M64)*'1'!W64</f>
        <v>-7.4074074074074042E-2</v>
      </c>
      <c r="S64" s="2">
        <f>('1'!$I64-Data!$M64)*'1'!X64</f>
        <v>-0.13182674199623351</v>
      </c>
      <c r="T64" s="2">
        <f>('1'!$I64-Data!$M64)*'1'!Y64</f>
        <v>-0.11111111111111112</v>
      </c>
      <c r="U64" s="2">
        <f>('1'!$I64-Data!$M64)</f>
        <v>0.33333333333333331</v>
      </c>
      <c r="V64" s="2">
        <f>('1'!$J64-Data!$N64)*'1'!V64</f>
        <v>0.17283950617283958</v>
      </c>
      <c r="W64" s="2">
        <f>('1'!$J64-Data!$N64)*'1'!W64</f>
        <v>0.14814814814814811</v>
      </c>
      <c r="X64" s="2">
        <f>('1'!$J64-Data!$N64)*'1'!X64</f>
        <v>0.26365348399246707</v>
      </c>
      <c r="Y64" s="2">
        <f>('1'!$J64-Data!$N64)*'1'!Y64</f>
        <v>0.22222222222222227</v>
      </c>
      <c r="Z64" s="2">
        <f>('1'!$J64-Data!$N64)</f>
        <v>-0.66666666666666674</v>
      </c>
      <c r="AA64" s="2">
        <f>('1'!$K64-Data!$O64)*'1'!V64</f>
        <v>-8.6419753086419776E-2</v>
      </c>
      <c r="AB64" s="2">
        <f>('1'!$K64-Data!$O64)*'1'!W64</f>
        <v>-7.4074074074074042E-2</v>
      </c>
      <c r="AC64" s="2">
        <f>('1'!$K64-Data!$O64)*'1'!X64</f>
        <v>-0.13182674199623351</v>
      </c>
      <c r="AD64" s="2">
        <f>('1'!$K64-Data!$O64)*'1'!Y64</f>
        <v>-0.11111111111111112</v>
      </c>
      <c r="AE64" s="2">
        <f>('1'!$K64-Data!$O64)</f>
        <v>0.33333333333333331</v>
      </c>
    </row>
    <row r="65" spans="2:31" x14ac:dyDescent="0.25">
      <c r="B65" s="2">
        <f ca="1">B$2*Data!$I65+B$3*Data!$J65+B$4*Data!$K65+B$5*Data!$L65+B$6</f>
        <v>6.5144319973921144E-2</v>
      </c>
      <c r="C65" s="2">
        <f ca="1">C$2*Data!$I65+C$3*Data!$J65+C$4*Data!$K65+C$5*Data!$L65+C$6</f>
        <v>0.35325922715523284</v>
      </c>
      <c r="D65" s="2">
        <f ca="1">D$2*Data!$I65+D$3*Data!$J65+D$4*Data!$K65+D$5*Data!$L65+D$6</f>
        <v>0.58639871275785249</v>
      </c>
      <c r="E65" s="2">
        <f ca="1">EXP(B65)</f>
        <v>1.0673130478608261</v>
      </c>
      <c r="F65" s="2">
        <f ca="1">EXP(C65)</f>
        <v>1.4237001573440151</v>
      </c>
      <c r="G65" s="2">
        <f ca="1">EXP(D65)</f>
        <v>1.797503419108508</v>
      </c>
      <c r="H65" s="2">
        <f ca="1">SUM(E65:G65)</f>
        <v>4.288516624313349</v>
      </c>
      <c r="I65" s="2">
        <f ca="1">E65/'1'!$H65</f>
        <v>0.25451333301083962</v>
      </c>
      <c r="J65" s="2">
        <f ca="1">F65/H65</f>
        <v>0.3319796288703834</v>
      </c>
      <c r="K65" s="2">
        <f ca="1">G65/H65</f>
        <v>0.41914339539171386</v>
      </c>
      <c r="L65" s="2">
        <f ca="1">-Data!$M65*LOG(I65)</f>
        <v>0</v>
      </c>
      <c r="M65" s="2">
        <f ca="1">-Data!$N65*LOG(J65)</f>
        <v>0.47888856491227877</v>
      </c>
      <c r="N65" s="2">
        <f ca="1">-Data!$O65*LOG(K65)</f>
        <v>0</v>
      </c>
      <c r="O65" s="2">
        <f ca="1">SUM(L65:N65)</f>
        <v>0.47888856491227877</v>
      </c>
      <c r="P65" s="2"/>
      <c r="Q65" s="2">
        <f ca="1">(I65-'1'!Z65)*'1'!V65</f>
        <v>-0.34117777765833562</v>
      </c>
      <c r="R65" s="2">
        <f>('1'!$I65-Data!$M65)*'1'!W65</f>
        <v>-0.12037037037037035</v>
      </c>
      <c r="S65" s="2">
        <f>('1'!$I65-Data!$M65)*'1'!X65</f>
        <v>-0.13935969868173259</v>
      </c>
      <c r="T65" s="2">
        <f>('1'!$I65-Data!$M65)*'1'!Y65</f>
        <v>-0.1388888888888889</v>
      </c>
      <c r="U65" s="2">
        <f>('1'!$I65-Data!$M65)</f>
        <v>0.33333333333333337</v>
      </c>
      <c r="V65" s="2">
        <f>('1'!$J65-Data!$N65)*'1'!V65</f>
        <v>0.24691358024691351</v>
      </c>
      <c r="W65" s="2">
        <f>('1'!$J65-Data!$N65)*'1'!W65</f>
        <v>0.24074074074074064</v>
      </c>
      <c r="X65" s="2">
        <f>('1'!$J65-Data!$N65)*'1'!X65</f>
        <v>0.27871939736346513</v>
      </c>
      <c r="Y65" s="2">
        <f>('1'!$J65-Data!$N65)*'1'!Y65</f>
        <v>0.27777777777777773</v>
      </c>
      <c r="Z65" s="2">
        <f>('1'!$J65-Data!$N65)</f>
        <v>-0.66666666666666663</v>
      </c>
      <c r="AA65" s="2">
        <f>('1'!$K65-Data!$O65)*'1'!V65</f>
        <v>-0.12345679012345678</v>
      </c>
      <c r="AB65" s="2">
        <f>('1'!$K65-Data!$O65)*'1'!W65</f>
        <v>-0.12037037037037035</v>
      </c>
      <c r="AC65" s="2">
        <f>('1'!$K65-Data!$O65)*'1'!X65</f>
        <v>-0.13935969868173259</v>
      </c>
      <c r="AD65" s="2">
        <f>('1'!$K65-Data!$O65)*'1'!Y65</f>
        <v>-0.1388888888888889</v>
      </c>
      <c r="AE65" s="2">
        <f>('1'!$K65-Data!$O65)</f>
        <v>0.33333333333333337</v>
      </c>
    </row>
    <row r="66" spans="2:31" x14ac:dyDescent="0.25">
      <c r="B66" s="2">
        <f ca="1">B$2*Data!$I66+B$3*Data!$J66+B$4*Data!$K66+B$5*Data!$L66+B$6</f>
        <v>5.2681505598292419E-2</v>
      </c>
      <c r="C66" s="2">
        <f ca="1">C$2*Data!$I66+C$3*Data!$J66+C$4*Data!$K66+C$5*Data!$L66+C$6</f>
        <v>0.22861054199428266</v>
      </c>
      <c r="D66" s="2">
        <f ca="1">D$2*Data!$I66+D$3*Data!$J66+D$4*Data!$K66+D$5*Data!$L66+D$6</f>
        <v>0.34815710494979868</v>
      </c>
      <c r="E66" s="2">
        <f ca="1">EXP(B66)</f>
        <v>1.0540938686546915</v>
      </c>
      <c r="F66" s="2">
        <f ca="1">EXP(C66)</f>
        <v>1.2568524524297167</v>
      </c>
      <c r="G66" s="2">
        <f ca="1">EXP(D66)</f>
        <v>1.4164547643151351</v>
      </c>
      <c r="H66" s="2">
        <f ca="1">SUM(E66:G66)</f>
        <v>3.7274010853995434</v>
      </c>
      <c r="I66" s="2">
        <f ca="1">E66/'1'!$H66</f>
        <v>0.2848629284399713</v>
      </c>
      <c r="J66" s="2">
        <f ca="1">F66/H66</f>
        <v>0.3371927044161907</v>
      </c>
      <c r="K66" s="2">
        <f ca="1">G66/H66</f>
        <v>0.38001136230374416</v>
      </c>
      <c r="L66" s="2">
        <f ca="1">-Data!$M66*LOG(I66)</f>
        <v>0</v>
      </c>
      <c r="M66" s="2">
        <f ca="1">-Data!$N66*LOG(J66)</f>
        <v>0.47212183044725636</v>
      </c>
      <c r="N66" s="2">
        <f ca="1">-Data!$O66*LOG(K66)</f>
        <v>0</v>
      </c>
      <c r="O66" s="2">
        <f ca="1">SUM(L66:N66)</f>
        <v>0.47212183044725636</v>
      </c>
      <c r="P66" s="2"/>
      <c r="Q66" s="2">
        <f ca="1">(I66-'1'!Z66)*'1'!V66</f>
        <v>-0.10572551056740428</v>
      </c>
      <c r="R66" s="2">
        <f>('1'!$I66-Data!$M66)*'1'!W66</f>
        <v>-3.7037037037037028E-2</v>
      </c>
      <c r="S66" s="2">
        <f>('1'!$I66-Data!$M66)*'1'!X66</f>
        <v>-8.662900188323916E-2</v>
      </c>
      <c r="T66" s="2">
        <f>('1'!$I66-Data!$M66)*'1'!Y66</f>
        <v>-8.3333333333333343E-2</v>
      </c>
      <c r="U66" s="2">
        <f>('1'!$I66-Data!$M66)</f>
        <v>0.33333333333333337</v>
      </c>
      <c r="V66" s="2">
        <f>('1'!$J66-Data!$N66)*'1'!V66</f>
        <v>7.4074074074074125E-2</v>
      </c>
      <c r="W66" s="2">
        <f>('1'!$J66-Data!$N66)*'1'!W66</f>
        <v>7.4074074074074042E-2</v>
      </c>
      <c r="X66" s="2">
        <f>('1'!$J66-Data!$N66)*'1'!X66</f>
        <v>0.17325800376647829</v>
      </c>
      <c r="Y66" s="2">
        <f>('1'!$J66-Data!$N66)*'1'!Y66</f>
        <v>0.16666666666666666</v>
      </c>
      <c r="Z66" s="2">
        <f>('1'!$J66-Data!$N66)</f>
        <v>-0.66666666666666663</v>
      </c>
      <c r="AA66" s="2">
        <f>('1'!$K66-Data!$O66)*'1'!V66</f>
        <v>-3.703703703703707E-2</v>
      </c>
      <c r="AB66" s="2">
        <f>('1'!$K66-Data!$O66)*'1'!W66</f>
        <v>-3.7037037037037028E-2</v>
      </c>
      <c r="AC66" s="2">
        <f>('1'!$K66-Data!$O66)*'1'!X66</f>
        <v>-8.662900188323916E-2</v>
      </c>
      <c r="AD66" s="2">
        <f>('1'!$K66-Data!$O66)*'1'!Y66</f>
        <v>-8.3333333333333343E-2</v>
      </c>
      <c r="AE66" s="2">
        <f>('1'!$K66-Data!$O66)</f>
        <v>0.33333333333333337</v>
      </c>
    </row>
    <row r="67" spans="2:31" x14ac:dyDescent="0.25">
      <c r="B67" s="2">
        <f ca="1">B$2*Data!$I67+B$3*Data!$J67+B$4*Data!$K67+B$5*Data!$L67+B$6</f>
        <v>4.8442923326867171E-2</v>
      </c>
      <c r="C67" s="2">
        <f ca="1">C$2*Data!$I67+C$3*Data!$J67+C$4*Data!$K67+C$5*Data!$L67+C$6</f>
        <v>0.33762854873250764</v>
      </c>
      <c r="D67" s="2">
        <f ca="1">D$2*Data!$I67+D$3*Data!$J67+D$4*Data!$K67+D$5*Data!$L67+D$6</f>
        <v>0.55114604206491968</v>
      </c>
      <c r="E67" s="2">
        <f ca="1">EXP(B67)</f>
        <v>1.0496354604104869</v>
      </c>
      <c r="F67" s="2">
        <f ca="1">EXP(C67)</f>
        <v>1.4016197732570523</v>
      </c>
      <c r="G67" s="2">
        <f ca="1">EXP(D67)</f>
        <v>1.7352405374079833</v>
      </c>
      <c r="H67" s="2">
        <f ca="1">SUM(E67:G67)</f>
        <v>4.1864957710755224</v>
      </c>
      <c r="I67" s="2">
        <f ca="1">E67/'1'!$H67</f>
        <v>0.25600067356758077</v>
      </c>
      <c r="J67" s="2">
        <f ca="1">F67/H67</f>
        <v>0.33479545899480806</v>
      </c>
      <c r="K67" s="2">
        <f ca="1">G67/H67</f>
        <v>0.41448520010380785</v>
      </c>
      <c r="L67" s="2">
        <f ca="1">-Data!$M67*LOG(I67)</f>
        <v>0</v>
      </c>
      <c r="M67" s="2">
        <f ca="1">-Data!$N67*LOG(J67)</f>
        <v>0.4752204412010943</v>
      </c>
      <c r="N67" s="2">
        <f ca="1">-Data!$O67*LOG(K67)</f>
        <v>0</v>
      </c>
      <c r="O67" s="2">
        <f ca="1">SUM(L67:N67)</f>
        <v>0.4752204412010943</v>
      </c>
      <c r="P67" s="2"/>
      <c r="Q67" s="2">
        <f ca="1">(I67-'1'!Z67)*'1'!V67</f>
        <v>-0.39298794121088315</v>
      </c>
      <c r="R67" s="2">
        <f>('1'!$I67-Data!$M67)*'1'!W67</f>
        <v>-8.3333333333333315E-2</v>
      </c>
      <c r="S67" s="2">
        <f>('1'!$I67-Data!$M67)*'1'!X67</f>
        <v>-0.13559322033898302</v>
      </c>
      <c r="T67" s="2">
        <f>('1'!$I67-Data!$M67)*'1'!Y67</f>
        <v>-0.11111111111111112</v>
      </c>
      <c r="U67" s="2">
        <f>('1'!$I67-Data!$M67)</f>
        <v>0.33333333333333331</v>
      </c>
      <c r="V67" s="2">
        <f>('1'!$J67-Data!$N67)*'1'!V67</f>
        <v>0.2839506172839506</v>
      </c>
      <c r="W67" s="2">
        <f>('1'!$J67-Data!$N67)*'1'!W67</f>
        <v>0.16666666666666666</v>
      </c>
      <c r="X67" s="2">
        <f>('1'!$J67-Data!$N67)*'1'!X67</f>
        <v>0.2711864406779661</v>
      </c>
      <c r="Y67" s="2">
        <f>('1'!$J67-Data!$N67)*'1'!Y67</f>
        <v>0.22222222222222227</v>
      </c>
      <c r="Z67" s="2">
        <f>('1'!$J67-Data!$N67)</f>
        <v>-0.66666666666666674</v>
      </c>
      <c r="AA67" s="2">
        <f>('1'!$K67-Data!$O67)*'1'!V67</f>
        <v>-0.14197530864197527</v>
      </c>
      <c r="AB67" s="2">
        <f>('1'!$K67-Data!$O67)*'1'!W67</f>
        <v>-8.3333333333333315E-2</v>
      </c>
      <c r="AC67" s="2">
        <f>('1'!$K67-Data!$O67)*'1'!X67</f>
        <v>-0.13559322033898302</v>
      </c>
      <c r="AD67" s="2">
        <f>('1'!$K67-Data!$O67)*'1'!Y67</f>
        <v>-0.11111111111111112</v>
      </c>
      <c r="AE67" s="2">
        <f>('1'!$K67-Data!$O67)</f>
        <v>0.33333333333333331</v>
      </c>
    </row>
    <row r="68" spans="2:31" x14ac:dyDescent="0.25">
      <c r="B68" s="2">
        <f ca="1">B$2*Data!$I68+B$3*Data!$J68+B$4*Data!$K68+B$5*Data!$L68+B$6</f>
        <v>4.721473115962891E-2</v>
      </c>
      <c r="C68" s="2">
        <f ca="1">C$2*Data!$I68+C$3*Data!$J68+C$4*Data!$K68+C$5*Data!$L68+C$6</f>
        <v>0.27869862487631242</v>
      </c>
      <c r="D68" s="2">
        <f ca="1">D$2*Data!$I68+D$3*Data!$J68+D$4*Data!$K68+D$5*Data!$L68+D$6</f>
        <v>0.44654427108270356</v>
      </c>
      <c r="E68" s="2">
        <f ca="1">EXP(B68)</f>
        <v>1.0483470977000033</v>
      </c>
      <c r="F68" s="2">
        <f ca="1">EXP(C68)</f>
        <v>1.3214090440396342</v>
      </c>
      <c r="G68" s="2">
        <f ca="1">EXP(D68)</f>
        <v>1.5629018773826966</v>
      </c>
      <c r="H68" s="2">
        <f ca="1">SUM(E68:G68)</f>
        <v>3.9326580191223339</v>
      </c>
      <c r="I68" s="2">
        <f ca="1">E68/'1'!$H68</f>
        <v>0.27012149675549024</v>
      </c>
      <c r="J68" s="2">
        <f ca="1">F68/H68</f>
        <v>0.33600914130197823</v>
      </c>
      <c r="K68" s="2">
        <f ca="1">G68/H68</f>
        <v>0.39741616733089224</v>
      </c>
      <c r="L68" s="2">
        <f ca="1">-Data!$M68*LOG(I68)</f>
        <v>0</v>
      </c>
      <c r="M68" s="2">
        <f ca="1">-Data!$N68*LOG(J68)</f>
        <v>0.47364890724407593</v>
      </c>
      <c r="N68" s="2">
        <f ca="1">-Data!$O68*LOG(K68)</f>
        <v>0</v>
      </c>
      <c r="O68" s="2">
        <f ca="1">SUM(L68:N68)</f>
        <v>0.47364890724407593</v>
      </c>
      <c r="P68" s="2"/>
      <c r="Q68" s="2">
        <f ca="1">(I68-'1'!Z68)*'1'!V68</f>
        <v>-0.15613136057035951</v>
      </c>
      <c r="R68" s="2">
        <f>('1'!$I68-Data!$M68)*'1'!W68</f>
        <v>-6.4814814814814825E-2</v>
      </c>
      <c r="S68" s="2">
        <f>('1'!$I68-Data!$M68)*'1'!X68</f>
        <v>-0.10922787193973635</v>
      </c>
      <c r="T68" s="2">
        <f>('1'!$I68-Data!$M68)*'1'!Y68</f>
        <v>-0.12037037037037036</v>
      </c>
      <c r="U68" s="2">
        <f>('1'!$I68-Data!$M68)</f>
        <v>0.33333333333333337</v>
      </c>
      <c r="V68" s="2">
        <f>('1'!$J68-Data!$N68)*'1'!V68</f>
        <v>0.11111111111111112</v>
      </c>
      <c r="W68" s="2">
        <f>('1'!$J68-Data!$N68)*'1'!W68</f>
        <v>0.12962962962962962</v>
      </c>
      <c r="X68" s="2">
        <f>('1'!$J68-Data!$N68)*'1'!X68</f>
        <v>0.21845574387947267</v>
      </c>
      <c r="Y68" s="2">
        <f>('1'!$J68-Data!$N68)*'1'!Y68</f>
        <v>0.2407407407407407</v>
      </c>
      <c r="Z68" s="2">
        <f>('1'!$J68-Data!$N68)</f>
        <v>-0.66666666666666663</v>
      </c>
      <c r="AA68" s="2">
        <f>('1'!$K68-Data!$O68)*'1'!V68</f>
        <v>-5.5555555555555566E-2</v>
      </c>
      <c r="AB68" s="2">
        <f>('1'!$K68-Data!$O68)*'1'!W68</f>
        <v>-6.4814814814814825E-2</v>
      </c>
      <c r="AC68" s="2">
        <f>('1'!$K68-Data!$O68)*'1'!X68</f>
        <v>-0.10922787193973635</v>
      </c>
      <c r="AD68" s="2">
        <f>('1'!$K68-Data!$O68)*'1'!Y68</f>
        <v>-0.12037037037037036</v>
      </c>
      <c r="AE68" s="2">
        <f>('1'!$K68-Data!$O68)</f>
        <v>0.33333333333333337</v>
      </c>
    </row>
    <row r="69" spans="2:31" x14ac:dyDescent="0.25">
      <c r="B69" s="2">
        <f ca="1">B$2*Data!$I69+B$3*Data!$J69+B$4*Data!$K69+B$5*Data!$L69+B$6</f>
        <v>1.972113016812066E-2</v>
      </c>
      <c r="C69" s="2">
        <f ca="1">C$2*Data!$I69+C$3*Data!$J69+C$4*Data!$K69+C$5*Data!$L69+C$6</f>
        <v>0.22977030418952715</v>
      </c>
      <c r="D69" s="2">
        <f ca="1">D$2*Data!$I69+D$3*Data!$J69+D$4*Data!$K69+D$5*Data!$L69+D$6</f>
        <v>0.34846054304348295</v>
      </c>
      <c r="E69" s="2">
        <f ca="1">EXP(B69)</f>
        <v>1.0199168763165964</v>
      </c>
      <c r="F69" s="2">
        <f ca="1">EXP(C69)</f>
        <v>1.2583109479795662</v>
      </c>
      <c r="G69" s="2">
        <f ca="1">EXP(D69)</f>
        <v>1.4168846358650125</v>
      </c>
      <c r="H69" s="2">
        <f ca="1">SUM(E69:G69)</f>
        <v>3.6951124601611749</v>
      </c>
      <c r="I69" s="2">
        <f ca="1">E69/'1'!$H69</f>
        <v>0.27853585509292828</v>
      </c>
      <c r="J69" s="2">
        <f ca="1">F69/H69</f>
        <v>0.34053387049678069</v>
      </c>
      <c r="K69" s="2">
        <f ca="1">G69/H69</f>
        <v>0.38344831209906133</v>
      </c>
      <c r="L69" s="2">
        <f ca="1">-Data!$M69*LOG(I69)</f>
        <v>0</v>
      </c>
      <c r="M69" s="2">
        <f ca="1">-Data!$N69*LOG(J69)</f>
        <v>0.46783968540086268</v>
      </c>
      <c r="N69" s="2">
        <f ca="1">-Data!$O69*LOG(K69)</f>
        <v>0</v>
      </c>
      <c r="O69" s="2">
        <f ca="1">SUM(L69:N69)</f>
        <v>0.46783968540086268</v>
      </c>
      <c r="P69" s="2"/>
      <c r="Q69" s="2">
        <f ca="1">(I69-'1'!Z69)*'1'!V69</f>
        <v>-0.12252625282068828</v>
      </c>
      <c r="R69" s="2">
        <f>('1'!$I69-Data!$M69)*'1'!W69</f>
        <v>0</v>
      </c>
      <c r="S69" s="2">
        <f>('1'!$I69-Data!$M69)*'1'!X69</f>
        <v>-9.4161958568738227E-2</v>
      </c>
      <c r="T69" s="2">
        <f>('1'!$I69-Data!$M69)*'1'!Y69</f>
        <v>-8.3333333333333329E-2</v>
      </c>
      <c r="U69" s="2">
        <f>('1'!$I69-Data!$M69)</f>
        <v>0.33333333333333331</v>
      </c>
      <c r="V69" s="2">
        <f>('1'!$J69-Data!$N69)*'1'!V69</f>
        <v>8.641975308641979E-2</v>
      </c>
      <c r="W69" s="2">
        <f>('1'!$J69-Data!$N69)*'1'!W69</f>
        <v>0</v>
      </c>
      <c r="X69" s="2">
        <f>('1'!$J69-Data!$N69)*'1'!X69</f>
        <v>0.18832391713747648</v>
      </c>
      <c r="Y69" s="2">
        <f>('1'!$J69-Data!$N69)*'1'!Y69</f>
        <v>0.16666666666666669</v>
      </c>
      <c r="Z69" s="2">
        <f>('1'!$J69-Data!$N69)</f>
        <v>-0.66666666666666674</v>
      </c>
      <c r="AA69" s="2">
        <f>('1'!$K69-Data!$O69)*'1'!V69</f>
        <v>-4.3209876543209888E-2</v>
      </c>
      <c r="AB69" s="2">
        <f>('1'!$K69-Data!$O69)*'1'!W69</f>
        <v>0</v>
      </c>
      <c r="AC69" s="2">
        <f>('1'!$K69-Data!$O69)*'1'!X69</f>
        <v>-9.4161958568738227E-2</v>
      </c>
      <c r="AD69" s="2">
        <f>('1'!$K69-Data!$O69)*'1'!Y69</f>
        <v>-8.3333333333333329E-2</v>
      </c>
      <c r="AE69" s="2">
        <f>('1'!$K69-Data!$O69)</f>
        <v>0.33333333333333331</v>
      </c>
    </row>
    <row r="70" spans="2:31" x14ac:dyDescent="0.25">
      <c r="B70" s="2">
        <f ca="1">B$2*Data!$I70+B$3*Data!$J70+B$4*Data!$K70+B$5*Data!$L70+B$6</f>
        <v>5.7101585709844464E-2</v>
      </c>
      <c r="C70" s="2">
        <f ca="1">C$2*Data!$I70+C$3*Data!$J70+C$4*Data!$K70+C$5*Data!$L70+C$6</f>
        <v>0.31826684327205984</v>
      </c>
      <c r="D70" s="2">
        <f ca="1">D$2*Data!$I70+D$3*Data!$J70+D$4*Data!$K70+D$5*Data!$L70+D$6</f>
        <v>0.52067676875820956</v>
      </c>
      <c r="E70" s="2">
        <f ca="1">EXP(B70)</f>
        <v>1.0587633601601472</v>
      </c>
      <c r="F70" s="2">
        <f ca="1">EXP(C70)</f>
        <v>1.37474305322196</v>
      </c>
      <c r="G70" s="2">
        <f ca="1">EXP(D70)</f>
        <v>1.6831663787473061</v>
      </c>
      <c r="H70" s="2">
        <f ca="1">SUM(E70:G70)</f>
        <v>4.1166727921294131</v>
      </c>
      <c r="I70" s="2">
        <f ca="1">E70/'1'!$H70</f>
        <v>0.26179528501609006</v>
      </c>
      <c r="J70" s="2">
        <f ca="1">F70/H70</f>
        <v>0.33394518404530588</v>
      </c>
      <c r="K70" s="2">
        <f ca="1">G70/H70</f>
        <v>0.40886571844265091</v>
      </c>
      <c r="L70" s="2">
        <f ca="1">-Data!$M70*LOG(I70)</f>
        <v>0</v>
      </c>
      <c r="M70" s="2">
        <f ca="1">-Data!$N70*LOG(J70)</f>
        <v>0.47632481528542792</v>
      </c>
      <c r="N70" s="2">
        <f ca="1">-Data!$O70*LOG(K70)</f>
        <v>0</v>
      </c>
      <c r="O70" s="2">
        <f ca="1">SUM(L70:N70)</f>
        <v>0.47632481528542792</v>
      </c>
      <c r="P70" s="2"/>
      <c r="Q70" s="2">
        <f ca="1">(I70-'1'!Z70)*'1'!V70</f>
        <v>-0.27509983753563166</v>
      </c>
      <c r="R70" s="2">
        <f>('1'!$I70-Data!$M70)*'1'!W70</f>
        <v>-9.2592592592592587E-2</v>
      </c>
      <c r="S70" s="2">
        <f>('1'!$I70-Data!$M70)*'1'!X70</f>
        <v>-0.12052730696798494</v>
      </c>
      <c r="T70" s="2">
        <f>('1'!$I70-Data!$M70)*'1'!Y70</f>
        <v>-0.12962962962962965</v>
      </c>
      <c r="U70" s="2">
        <f>('1'!$I70-Data!$M70)</f>
        <v>0.33333333333333337</v>
      </c>
      <c r="V70" s="2">
        <f>('1'!$J70-Data!$N70)*'1'!V70</f>
        <v>0.19753086419753088</v>
      </c>
      <c r="W70" s="2">
        <f>('1'!$J70-Data!$N70)*'1'!W70</f>
        <v>0.18518518518518515</v>
      </c>
      <c r="X70" s="2">
        <f>('1'!$J70-Data!$N70)*'1'!X70</f>
        <v>0.24105461393596986</v>
      </c>
      <c r="Y70" s="2">
        <f>('1'!$J70-Data!$N70)*'1'!Y70</f>
        <v>0.25925925925925924</v>
      </c>
      <c r="Z70" s="2">
        <f>('1'!$J70-Data!$N70)</f>
        <v>-0.66666666666666663</v>
      </c>
      <c r="AA70" s="2">
        <f>('1'!$K70-Data!$O70)*'1'!V70</f>
        <v>-9.8765432098765454E-2</v>
      </c>
      <c r="AB70" s="2">
        <f>('1'!$K70-Data!$O70)*'1'!W70</f>
        <v>-9.2592592592592587E-2</v>
      </c>
      <c r="AC70" s="2">
        <f>('1'!$K70-Data!$O70)*'1'!X70</f>
        <v>-0.12052730696798494</v>
      </c>
      <c r="AD70" s="2">
        <f>('1'!$K70-Data!$O70)*'1'!Y70</f>
        <v>-0.12962962962962965</v>
      </c>
      <c r="AE70" s="2">
        <f>('1'!$K70-Data!$O70)</f>
        <v>0.33333333333333337</v>
      </c>
    </row>
    <row r="71" spans="2:31" x14ac:dyDescent="0.25">
      <c r="B71" s="2">
        <f ca="1">B$2*Data!$I71+B$3*Data!$J71+B$4*Data!$K71+B$5*Data!$L71+B$6</f>
        <v>2.1841796530962826E-2</v>
      </c>
      <c r="C71" s="2">
        <f ca="1">C$2*Data!$I71+C$3*Data!$J71+C$4*Data!$K71+C$5*Data!$L71+C$6</f>
        <v>0.2766010368381322</v>
      </c>
      <c r="D71" s="2">
        <f ca="1">D$2*Data!$I71+D$3*Data!$J71+D$4*Data!$K71+D$5*Data!$L71+D$6</f>
        <v>0.43326620617892841</v>
      </c>
      <c r="E71" s="2">
        <f ca="1">EXP(B71)</f>
        <v>1.0220820747493899</v>
      </c>
      <c r="F71" s="2">
        <f ca="1">EXP(C71)</f>
        <v>1.3186401772214944</v>
      </c>
      <c r="G71" s="2">
        <f ca="1">EXP(D71)</f>
        <v>1.5422867323156657</v>
      </c>
      <c r="H71" s="2">
        <f ca="1">SUM(E71:G71)</f>
        <v>3.8830089842865503</v>
      </c>
      <c r="I71" s="2">
        <f ca="1">E71/'1'!$H71</f>
        <v>0.26695544549280875</v>
      </c>
      <c r="J71" s="2">
        <f ca="1">F71/H71</f>
        <v>0.33959235802895688</v>
      </c>
      <c r="K71" s="2">
        <f ca="1">G71/H71</f>
        <v>0.3971885562348344</v>
      </c>
      <c r="L71" s="2">
        <f ca="1">-Data!$M71*LOG(I71)</f>
        <v>0</v>
      </c>
      <c r="M71" s="2">
        <f ca="1">-Data!$N71*LOG(J71)</f>
        <v>0.46904209140569814</v>
      </c>
      <c r="N71" s="2">
        <f ca="1">-Data!$O71*LOG(K71)</f>
        <v>0</v>
      </c>
      <c r="O71" s="2">
        <f ca="1">SUM(L71:N71)</f>
        <v>0.46904209140569814</v>
      </c>
      <c r="P71" s="2"/>
      <c r="Q71" s="2">
        <f ca="1">(I71-'1'!Z71)*'1'!V71</f>
        <v>-0.29391807234650147</v>
      </c>
      <c r="R71" s="2">
        <f>('1'!$I71-Data!$M71)*'1'!W71</f>
        <v>-1.8518518518518535E-2</v>
      </c>
      <c r="S71" s="2">
        <f>('1'!$I71-Data!$M71)*'1'!X71</f>
        <v>-0.11299435028248589</v>
      </c>
      <c r="T71" s="2">
        <f>('1'!$I71-Data!$M71)*'1'!Y71</f>
        <v>-8.3333333333333343E-2</v>
      </c>
      <c r="U71" s="2">
        <f>('1'!$I71-Data!$M71)</f>
        <v>0.33333333333333337</v>
      </c>
      <c r="V71" s="2">
        <f>('1'!$J71-Data!$N71)*'1'!V71</f>
        <v>0.2098765432098765</v>
      </c>
      <c r="W71" s="2">
        <f>('1'!$J71-Data!$N71)*'1'!W71</f>
        <v>3.7037037037037063E-2</v>
      </c>
      <c r="X71" s="2">
        <f>('1'!$J71-Data!$N71)*'1'!X71</f>
        <v>0.22598870056497172</v>
      </c>
      <c r="Y71" s="2">
        <f>('1'!$J71-Data!$N71)*'1'!Y71</f>
        <v>0.16666666666666666</v>
      </c>
      <c r="Z71" s="2">
        <f>('1'!$J71-Data!$N71)</f>
        <v>-0.66666666666666663</v>
      </c>
      <c r="AA71" s="2">
        <f>('1'!$K71-Data!$O71)*'1'!V71</f>
        <v>-0.10493827160493827</v>
      </c>
      <c r="AB71" s="2">
        <f>('1'!$K71-Data!$O71)*'1'!W71</f>
        <v>-1.8518518518518535E-2</v>
      </c>
      <c r="AC71" s="2">
        <f>('1'!$K71-Data!$O71)*'1'!X71</f>
        <v>-0.11299435028248589</v>
      </c>
      <c r="AD71" s="2">
        <f>('1'!$K71-Data!$O71)*'1'!Y71</f>
        <v>-8.3333333333333343E-2</v>
      </c>
      <c r="AE71" s="2">
        <f>('1'!$K71-Data!$O71)</f>
        <v>0.33333333333333337</v>
      </c>
    </row>
    <row r="72" spans="2:31" x14ac:dyDescent="0.25">
      <c r="B72" s="2">
        <f ca="1">B$2*Data!$I72+B$3*Data!$J72+B$4*Data!$K72+B$5*Data!$L72+B$6</f>
        <v>4.498485495334504E-2</v>
      </c>
      <c r="C72" s="2">
        <f ca="1">C$2*Data!$I72+C$3*Data!$J72+C$4*Data!$K72+C$5*Data!$L72+C$6</f>
        <v>0.32963911398650853</v>
      </c>
      <c r="D72" s="2">
        <f ca="1">D$2*Data!$I72+D$3*Data!$J72+D$4*Data!$K72+D$5*Data!$L72+D$6</f>
        <v>0.53851162428048627</v>
      </c>
      <c r="E72" s="2">
        <f ca="1">EXP(B72)</f>
        <v>1.0460120178879406</v>
      </c>
      <c r="F72" s="2">
        <f ca="1">EXP(C72)</f>
        <v>1.3904662380890607</v>
      </c>
      <c r="G72" s="2">
        <f ca="1">EXP(D72)</f>
        <v>1.7134546989966668</v>
      </c>
      <c r="H72" s="2">
        <f ca="1">SUM(E72:G72)</f>
        <v>4.1499329549736679</v>
      </c>
      <c r="I72" s="2">
        <f ca="1">E72/'1'!$H72</f>
        <v>0.25717307818388258</v>
      </c>
      <c r="J72" s="2">
        <f ca="1">F72/H72</f>
        <v>0.33505751856125671</v>
      </c>
      <c r="K72" s="2">
        <f ca="1">G72/H72</f>
        <v>0.41288732073203793</v>
      </c>
      <c r="L72" s="2">
        <f ca="1">-Data!$M72*LOG(I72)</f>
        <v>0</v>
      </c>
      <c r="M72" s="2">
        <f ca="1">-Data!$N72*LOG(J72)</f>
        <v>0.47488063221835247</v>
      </c>
      <c r="N72" s="2">
        <f ca="1">-Data!$O72*LOG(K72)</f>
        <v>0</v>
      </c>
      <c r="O72" s="2">
        <f ca="1">SUM(L72:N72)</f>
        <v>0.47488063221835247</v>
      </c>
      <c r="P72" s="2"/>
      <c r="Q72" s="2">
        <f ca="1">(I72-'1'!Z72)*'1'!V72</f>
        <v>-0.30794658161684973</v>
      </c>
      <c r="R72" s="2">
        <f>('1'!$I72-Data!$M72)*'1'!W72</f>
        <v>-8.3333333333333315E-2</v>
      </c>
      <c r="S72" s="2">
        <f>('1'!$I72-Data!$M72)*'1'!X72</f>
        <v>-0.13935969868173259</v>
      </c>
      <c r="T72" s="2">
        <f>('1'!$I72-Data!$M72)*'1'!Y72</f>
        <v>-0.12037037037037036</v>
      </c>
      <c r="U72" s="2">
        <f>('1'!$I72-Data!$M72)</f>
        <v>0.33333333333333331</v>
      </c>
      <c r="V72" s="2">
        <f>('1'!$J72-Data!$N72)*'1'!V72</f>
        <v>0.22222222222222224</v>
      </c>
      <c r="W72" s="2">
        <f>('1'!$J72-Data!$N72)*'1'!W72</f>
        <v>0.16666666666666666</v>
      </c>
      <c r="X72" s="2">
        <f>('1'!$J72-Data!$N72)*'1'!X72</f>
        <v>0.27871939736346524</v>
      </c>
      <c r="Y72" s="2">
        <f>('1'!$J72-Data!$N72)*'1'!Y72</f>
        <v>0.24074074074074076</v>
      </c>
      <c r="Z72" s="2">
        <f>('1'!$J72-Data!$N72)</f>
        <v>-0.66666666666666674</v>
      </c>
      <c r="AA72" s="2">
        <f>('1'!$K72-Data!$O72)*'1'!V72</f>
        <v>-0.1111111111111111</v>
      </c>
      <c r="AB72" s="2">
        <f>('1'!$K72-Data!$O72)*'1'!W72</f>
        <v>-8.3333333333333315E-2</v>
      </c>
      <c r="AC72" s="2">
        <f>('1'!$K72-Data!$O72)*'1'!X72</f>
        <v>-0.13935969868173259</v>
      </c>
      <c r="AD72" s="2">
        <f>('1'!$K72-Data!$O72)*'1'!Y72</f>
        <v>-0.12037037037037036</v>
      </c>
      <c r="AE72" s="2">
        <f>('1'!$K72-Data!$O72)</f>
        <v>0.33333333333333331</v>
      </c>
    </row>
    <row r="73" spans="2:31" x14ac:dyDescent="0.25">
      <c r="B73" s="2">
        <f ca="1">B$2*Data!$I73+B$3*Data!$J73+B$4*Data!$K73+B$5*Data!$L73+B$6</f>
        <v>6.8980397185545009E-2</v>
      </c>
      <c r="C73" s="2">
        <f ca="1">C$2*Data!$I73+C$3*Data!$J73+C$4*Data!$K73+C$5*Data!$L73+C$6</f>
        <v>0.28212551964928928</v>
      </c>
      <c r="D73" s="2">
        <f ca="1">D$2*Data!$I73+D$3*Data!$J73+D$4*Data!$K73+D$5*Data!$L73+D$6</f>
        <v>0.45193080632900828</v>
      </c>
      <c r="E73" s="2">
        <f ca="1">EXP(B73)</f>
        <v>1.0714152061889972</v>
      </c>
      <c r="F73" s="2">
        <f ca="1">EXP(C73)</f>
        <v>1.3259451417111396</v>
      </c>
      <c r="G73" s="2">
        <f ca="1">EXP(D73)</f>
        <v>1.5713432178103237</v>
      </c>
      <c r="H73" s="2">
        <f ca="1">SUM(E73:G73)</f>
        <v>3.9687035657104608</v>
      </c>
      <c r="I73" s="2">
        <f ca="1">E73/'1'!$H73</f>
        <v>0.27326567208060315</v>
      </c>
      <c r="J73" s="2">
        <f ca="1">F73/H73</f>
        <v>0.33410032262608014</v>
      </c>
      <c r="K73" s="2">
        <f ca="1">G73/H73</f>
        <v>0.39593363217820182</v>
      </c>
      <c r="L73" s="2">
        <f ca="1">-Data!$M73*LOG(I73)</f>
        <v>0</v>
      </c>
      <c r="M73" s="2">
        <f ca="1">-Data!$N73*LOG(J73)</f>
        <v>0.47612310498246529</v>
      </c>
      <c r="N73" s="2">
        <f ca="1">-Data!$O73*LOG(K73)</f>
        <v>0</v>
      </c>
      <c r="O73" s="2">
        <f ca="1">SUM(L73:N73)</f>
        <v>0.47612310498246529</v>
      </c>
      <c r="P73" s="2"/>
      <c r="Q73" s="2">
        <f ca="1">(I73-'1'!Z73)*'1'!V73</f>
        <v>-0.22628000747619448</v>
      </c>
      <c r="R73" s="2">
        <f>('1'!$I73-Data!$M73)*'1'!W73</f>
        <v>-8.3333333333333315E-2</v>
      </c>
      <c r="S73" s="2">
        <f>('1'!$I73-Data!$M73)*'1'!X73</f>
        <v>-9.7928436911487754E-2</v>
      </c>
      <c r="T73" s="2">
        <f>('1'!$I73-Data!$M73)*'1'!Y73</f>
        <v>-0.11111111111111112</v>
      </c>
      <c r="U73" s="2">
        <f>('1'!$I73-Data!$M73)</f>
        <v>0.33333333333333337</v>
      </c>
      <c r="V73" s="2">
        <f>('1'!$J73-Data!$N73)*'1'!V73</f>
        <v>0.16049382716049376</v>
      </c>
      <c r="W73" s="2">
        <f>('1'!$J73-Data!$N73)*'1'!W73</f>
        <v>0.1666666666666666</v>
      </c>
      <c r="X73" s="2">
        <f>('1'!$J73-Data!$N73)*'1'!X73</f>
        <v>0.19585687382297548</v>
      </c>
      <c r="Y73" s="2">
        <f>('1'!$J73-Data!$N73)*'1'!Y73</f>
        <v>0.22222222222222221</v>
      </c>
      <c r="Z73" s="2">
        <f>('1'!$J73-Data!$N73)</f>
        <v>-0.66666666666666663</v>
      </c>
      <c r="AA73" s="2">
        <f>('1'!$K73-Data!$O73)*'1'!V73</f>
        <v>-8.0246913580246895E-2</v>
      </c>
      <c r="AB73" s="2">
        <f>('1'!$K73-Data!$O73)*'1'!W73</f>
        <v>-8.3333333333333315E-2</v>
      </c>
      <c r="AC73" s="2">
        <f>('1'!$K73-Data!$O73)*'1'!X73</f>
        <v>-9.7928436911487754E-2</v>
      </c>
      <c r="AD73" s="2">
        <f>('1'!$K73-Data!$O73)*'1'!Y73</f>
        <v>-0.11111111111111112</v>
      </c>
      <c r="AE73" s="2">
        <f>('1'!$K73-Data!$O73)</f>
        <v>0.33333333333333337</v>
      </c>
    </row>
    <row r="74" spans="2:31" x14ac:dyDescent="0.25">
      <c r="B74" s="2">
        <f ca="1">B$2*Data!$I74+B$3*Data!$J74+B$4*Data!$K74+B$5*Data!$L74+B$6</f>
        <v>6.1724800814652134E-2</v>
      </c>
      <c r="C74" s="2">
        <f ca="1">C$2*Data!$I74+C$3*Data!$J74+C$4*Data!$K74+C$5*Data!$L74+C$6</f>
        <v>0.34460857563191338</v>
      </c>
      <c r="D74" s="2">
        <f ca="1">D$2*Data!$I74+D$3*Data!$J74+D$4*Data!$K74+D$5*Data!$L74+D$6</f>
        <v>0.56654797948563884</v>
      </c>
      <c r="E74" s="2">
        <f ca="1">EXP(B74)</f>
        <v>1.0636695834432048</v>
      </c>
      <c r="F74" s="2">
        <f ca="1">EXP(C74)</f>
        <v>1.4114373405591278</v>
      </c>
      <c r="G74" s="2">
        <f ca="1">EXP(D74)</f>
        <v>1.762173480913678</v>
      </c>
      <c r="H74" s="2">
        <f ca="1">SUM(E74:G74)</f>
        <v>4.2372804049160102</v>
      </c>
      <c r="I74" s="2">
        <f ca="1">E74/'1'!$H74</f>
        <v>0.25635776946798045</v>
      </c>
      <c r="J74" s="2">
        <f ca="1">F74/H74</f>
        <v>0.33309982009253053</v>
      </c>
      <c r="K74" s="2">
        <f ca="1">G74/H74</f>
        <v>0.41587370023216746</v>
      </c>
      <c r="L74" s="2">
        <f ca="1">-Data!$M74*LOG(I74)</f>
        <v>0</v>
      </c>
      <c r="M74" s="2">
        <f ca="1">-Data!$N74*LOG(J74)</f>
        <v>0.47742560187154415</v>
      </c>
      <c r="N74" s="2">
        <f ca="1">-Data!$O74*LOG(K74)</f>
        <v>0</v>
      </c>
      <c r="O74" s="2">
        <f ca="1">SUM(L74:N74)</f>
        <v>0.47742560187154415</v>
      </c>
      <c r="P74" s="2"/>
      <c r="Q74" s="2">
        <f ca="1">(I74-'1'!Z74)*'1'!V74</f>
        <v>-0.41023308272650988</v>
      </c>
      <c r="R74" s="2">
        <f>('1'!$I74-Data!$M74)*'1'!W74</f>
        <v>-0.10185185185185186</v>
      </c>
      <c r="S74" s="2">
        <f>('1'!$I74-Data!$M74)*'1'!X74</f>
        <v>-0.128060263653484</v>
      </c>
      <c r="T74" s="2">
        <f>('1'!$I74-Data!$M74)*'1'!Y74</f>
        <v>-0.12037037037037036</v>
      </c>
      <c r="U74" s="2">
        <f>('1'!$I74-Data!$M74)</f>
        <v>0.33333333333333331</v>
      </c>
      <c r="V74" s="2">
        <f>('1'!$J74-Data!$N74)*'1'!V74</f>
        <v>0.29629629629629634</v>
      </c>
      <c r="W74" s="2">
        <f>('1'!$J74-Data!$N74)*'1'!W74</f>
        <v>0.20370370370370375</v>
      </c>
      <c r="X74" s="2">
        <f>('1'!$J74-Data!$N74)*'1'!X74</f>
        <v>0.25612052730696805</v>
      </c>
      <c r="Y74" s="2">
        <f>('1'!$J74-Data!$N74)*'1'!Y74</f>
        <v>0.24074074074074076</v>
      </c>
      <c r="Z74" s="2">
        <f>('1'!$J74-Data!$N74)</f>
        <v>-0.66666666666666674</v>
      </c>
      <c r="AA74" s="2">
        <f>('1'!$K74-Data!$O74)*'1'!V74</f>
        <v>-0.14814814814814814</v>
      </c>
      <c r="AB74" s="2">
        <f>('1'!$K74-Data!$O74)*'1'!W74</f>
        <v>-0.10185185185185186</v>
      </c>
      <c r="AC74" s="2">
        <f>('1'!$K74-Data!$O74)*'1'!X74</f>
        <v>-0.128060263653484</v>
      </c>
      <c r="AD74" s="2">
        <f>('1'!$K74-Data!$O74)*'1'!Y74</f>
        <v>-0.12037037037037036</v>
      </c>
      <c r="AE74" s="2">
        <f>('1'!$K74-Data!$O74)</f>
        <v>0.33333333333333331</v>
      </c>
    </row>
    <row r="75" spans="2:31" x14ac:dyDescent="0.25">
      <c r="B75" s="2">
        <f ca="1">B$2*Data!$I75+B$3*Data!$J75+B$4*Data!$K75+B$5*Data!$L75+B$6</f>
        <v>5.3656392934957144E-2</v>
      </c>
      <c r="C75" s="2">
        <f ca="1">C$2*Data!$I75+C$3*Data!$J75+C$4*Data!$K75+C$5*Data!$L75+C$6</f>
        <v>0.3161060236019636</v>
      </c>
      <c r="D75" s="2">
        <f ca="1">D$2*Data!$I75+D$3*Data!$J75+D$4*Data!$K75+D$5*Data!$L75+D$6</f>
        <v>0.5165370184913286</v>
      </c>
      <c r="E75" s="2">
        <f ca="1">EXP(B75)</f>
        <v>1.0551219924899247</v>
      </c>
      <c r="F75" s="2">
        <f ca="1">EXP(C75)</f>
        <v>1.3717756885158296</v>
      </c>
      <c r="G75" s="2">
        <f ca="1">EXP(D75)</f>
        <v>1.676212893059261</v>
      </c>
      <c r="H75" s="2">
        <f ca="1">SUM(E75:G75)</f>
        <v>4.1031105740650151</v>
      </c>
      <c r="I75" s="2">
        <f ca="1">E75/'1'!$H75</f>
        <v>0.26174381975993805</v>
      </c>
      <c r="J75" s="2">
        <f ca="1">F75/H75</f>
        <v>0.33432579106850396</v>
      </c>
      <c r="K75" s="2">
        <f ca="1">G75/H75</f>
        <v>0.40852247649729095</v>
      </c>
      <c r="L75" s="2">
        <f ca="1">-Data!$M75*LOG(I75)</f>
        <v>0</v>
      </c>
      <c r="M75" s="2">
        <f ca="1">-Data!$N75*LOG(J75)</f>
        <v>0.4758301191098443</v>
      </c>
      <c r="N75" s="2">
        <f ca="1">-Data!$O75*LOG(K75)</f>
        <v>0</v>
      </c>
      <c r="O75" s="2">
        <f ca="1">SUM(L75:N75)</f>
        <v>0.4758301191098443</v>
      </c>
      <c r="P75" s="2"/>
      <c r="Q75" s="2">
        <f ca="1">(I75-'1'!Z75)*'1'!V75</f>
        <v>-0.22350622821381222</v>
      </c>
      <c r="R75" s="2">
        <f>('1'!$I75-Data!$M75)*'1'!W75</f>
        <v>-9.2592592592592587E-2</v>
      </c>
      <c r="S75" s="2">
        <f>('1'!$I75-Data!$M75)*'1'!X75</f>
        <v>-0.13182674199623351</v>
      </c>
      <c r="T75" s="2">
        <f>('1'!$I75-Data!$M75)*'1'!Y75</f>
        <v>-0.12962962962962965</v>
      </c>
      <c r="U75" s="2">
        <f>('1'!$I75-Data!$M75)</f>
        <v>0.33333333333333331</v>
      </c>
      <c r="V75" s="2">
        <f>('1'!$J75-Data!$N75)*'1'!V75</f>
        <v>0.16049382716049382</v>
      </c>
      <c r="W75" s="2">
        <f>('1'!$J75-Data!$N75)*'1'!W75</f>
        <v>0.1851851851851852</v>
      </c>
      <c r="X75" s="2">
        <f>('1'!$J75-Data!$N75)*'1'!X75</f>
        <v>0.26365348399246707</v>
      </c>
      <c r="Y75" s="2">
        <f>('1'!$J75-Data!$N75)*'1'!Y75</f>
        <v>0.25925925925925936</v>
      </c>
      <c r="Z75" s="2">
        <f>('1'!$J75-Data!$N75)</f>
        <v>-0.66666666666666674</v>
      </c>
      <c r="AA75" s="2">
        <f>('1'!$K75-Data!$O75)*'1'!V75</f>
        <v>-8.0246913580246895E-2</v>
      </c>
      <c r="AB75" s="2">
        <f>('1'!$K75-Data!$O75)*'1'!W75</f>
        <v>-9.2592592592592587E-2</v>
      </c>
      <c r="AC75" s="2">
        <f>('1'!$K75-Data!$O75)*'1'!X75</f>
        <v>-0.13182674199623351</v>
      </c>
      <c r="AD75" s="2">
        <f>('1'!$K75-Data!$O75)*'1'!Y75</f>
        <v>-0.12962962962962965</v>
      </c>
      <c r="AE75" s="2">
        <f>('1'!$K75-Data!$O75)</f>
        <v>0.33333333333333331</v>
      </c>
    </row>
    <row r="76" spans="2:31" x14ac:dyDescent="0.25">
      <c r="B76" s="2">
        <f ca="1">B$2*Data!$I76+B$3*Data!$J76+B$4*Data!$K76+B$5*Data!$L76+B$6</f>
        <v>5.7778018280897486E-2</v>
      </c>
      <c r="C76" s="2">
        <f ca="1">C$2*Data!$I76+C$3*Data!$J76+C$4*Data!$K76+C$5*Data!$L76+C$6</f>
        <v>0.28125241999336759</v>
      </c>
      <c r="D76" s="2">
        <f ca="1">D$2*Data!$I76+D$3*Data!$J76+D$4*Data!$K76+D$5*Data!$L76+D$6</f>
        <v>0.44359668036980349</v>
      </c>
      <c r="E76" s="2">
        <f ca="1">EXP(B76)</f>
        <v>1.0594797844610457</v>
      </c>
      <c r="F76" s="2">
        <f ca="1">EXP(C76)</f>
        <v>1.3247879647030745</v>
      </c>
      <c r="G76" s="2">
        <f ca="1">EXP(D76)</f>
        <v>1.5583018651309655</v>
      </c>
      <c r="H76" s="2">
        <f ca="1">SUM(E76:G76)</f>
        <v>3.9425696142950857</v>
      </c>
      <c r="I76" s="2">
        <f ca="1">E76/'1'!$H76</f>
        <v>0.2720661682618411</v>
      </c>
      <c r="J76" s="2">
        <f ca="1">F76/H76</f>
        <v>0.33602145156793656</v>
      </c>
      <c r="K76" s="2">
        <f ca="1">G76/H76</f>
        <v>0.39525031073156663</v>
      </c>
      <c r="L76" s="2">
        <f ca="1">-Data!$M76*LOG(I76)</f>
        <v>0</v>
      </c>
      <c r="M76" s="2">
        <f ca="1">-Data!$N76*LOG(J76)</f>
        <v>0.47363299641908141</v>
      </c>
      <c r="N76" s="2">
        <f ca="1">-Data!$O76*LOG(K76)</f>
        <v>0</v>
      </c>
      <c r="O76" s="2">
        <f ca="1">SUM(L76:N76)</f>
        <v>0.47363299641908141</v>
      </c>
      <c r="P76" s="2"/>
      <c r="Q76" s="2">
        <f ca="1">(I76-'1'!Z76)*'1'!V76</f>
        <v>-0.26075912081347435</v>
      </c>
      <c r="R76" s="2">
        <f>('1'!$I76-Data!$M76)*'1'!W76</f>
        <v>-6.4814814814814825E-2</v>
      </c>
      <c r="S76" s="2">
        <f>('1'!$I76-Data!$M76)*'1'!X76</f>
        <v>-0.1167608286252354</v>
      </c>
      <c r="T76" s="2">
        <f>('1'!$I76-Data!$M76)*'1'!Y76</f>
        <v>-8.3333333333333343E-2</v>
      </c>
      <c r="U76" s="2">
        <f>('1'!$I76-Data!$M76)</f>
        <v>0.33333333333333337</v>
      </c>
      <c r="V76" s="2">
        <f>('1'!$J76-Data!$N76)*'1'!V76</f>
        <v>0.18518518518518515</v>
      </c>
      <c r="W76" s="2">
        <f>('1'!$J76-Data!$N76)*'1'!W76</f>
        <v>0.12962962962962962</v>
      </c>
      <c r="X76" s="2">
        <f>('1'!$J76-Data!$N76)*'1'!X76</f>
        <v>0.23352165725047075</v>
      </c>
      <c r="Y76" s="2">
        <f>('1'!$J76-Data!$N76)*'1'!Y76</f>
        <v>0.16666666666666666</v>
      </c>
      <c r="Z76" s="2">
        <f>('1'!$J76-Data!$N76)</f>
        <v>-0.66666666666666663</v>
      </c>
      <c r="AA76" s="2">
        <f>('1'!$K76-Data!$O76)*'1'!V76</f>
        <v>-9.2592592592592587E-2</v>
      </c>
      <c r="AB76" s="2">
        <f>('1'!$K76-Data!$O76)*'1'!W76</f>
        <v>-6.4814814814814825E-2</v>
      </c>
      <c r="AC76" s="2">
        <f>('1'!$K76-Data!$O76)*'1'!X76</f>
        <v>-0.1167608286252354</v>
      </c>
      <c r="AD76" s="2">
        <f>('1'!$K76-Data!$O76)*'1'!Y76</f>
        <v>-8.3333333333333343E-2</v>
      </c>
      <c r="AE76" s="2">
        <f>('1'!$K76-Data!$O76)</f>
        <v>0.33333333333333337</v>
      </c>
    </row>
    <row r="77" spans="2:31" x14ac:dyDescent="0.25">
      <c r="B77" s="2">
        <f ca="1">B$2*Data!$I77+B$3*Data!$J77+B$4*Data!$K77+B$5*Data!$L77+B$6</f>
        <v>-7.6707675588699453E-3</v>
      </c>
      <c r="C77" s="2">
        <f ca="1">C$2*Data!$I77+C$3*Data!$J77+C$4*Data!$K77+C$5*Data!$L77+C$6</f>
        <v>0.32130664088591426</v>
      </c>
      <c r="D77" s="2">
        <f ca="1">D$2*Data!$I77+D$3*Data!$J77+D$4*Data!$K77+D$5*Data!$L77+D$6</f>
        <v>0.5226635617012052</v>
      </c>
      <c r="E77" s="2">
        <f ca="1">EXP(B77)</f>
        <v>0.99235857769711611</v>
      </c>
      <c r="F77" s="2">
        <f ca="1">EXP(C77)</f>
        <v>1.3789283518824396</v>
      </c>
      <c r="G77" s="2">
        <f ca="1">EXP(D77)</f>
        <v>1.6865138060518408</v>
      </c>
      <c r="H77" s="2">
        <f ca="1">SUM(E77:G77)</f>
        <v>4.0578007356313961</v>
      </c>
      <c r="I77" s="2">
        <f ca="1">E77/'1'!$H77</f>
        <v>0.25031140041708178</v>
      </c>
      <c r="J77" s="2">
        <f ca="1">F77/H77</f>
        <v>0.33982160330696415</v>
      </c>
      <c r="K77" s="2">
        <f ca="1">G77/H77</f>
        <v>0.41562262810064238</v>
      </c>
      <c r="L77" s="2">
        <f ca="1">-Data!$M77*LOG(I77)</f>
        <v>0</v>
      </c>
      <c r="M77" s="2">
        <f ca="1">-Data!$N77*LOG(J77)</f>
        <v>0.46874901540583652</v>
      </c>
      <c r="N77" s="2">
        <f ca="1">-Data!$O77*LOG(K77)</f>
        <v>0</v>
      </c>
      <c r="O77" s="2">
        <f ca="1">SUM(L77:N77)</f>
        <v>0.46874901540583652</v>
      </c>
      <c r="P77" s="2"/>
      <c r="Q77" s="2">
        <f ca="1">(I77-'1'!Z77)*'1'!V77</f>
        <v>-0.32264043101094864</v>
      </c>
      <c r="R77" s="2">
        <f>('1'!$I77-Data!$M77)*'1'!W77</f>
        <v>-1.8518518518518535E-2</v>
      </c>
      <c r="S77" s="2">
        <f>('1'!$I77-Data!$M77)*'1'!X77</f>
        <v>-0.13182674199623351</v>
      </c>
      <c r="T77" s="2">
        <f>('1'!$I77-Data!$M77)*'1'!Y77</f>
        <v>-0.12962962962962965</v>
      </c>
      <c r="U77" s="2">
        <f>('1'!$I77-Data!$M77)</f>
        <v>0.33333333333333331</v>
      </c>
      <c r="V77" s="2">
        <f>('1'!$J77-Data!$N77)*'1'!V77</f>
        <v>0.23456790123456797</v>
      </c>
      <c r="W77" s="2">
        <f>('1'!$J77-Data!$N77)*'1'!W77</f>
        <v>3.7037037037037077E-2</v>
      </c>
      <c r="X77" s="2">
        <f>('1'!$J77-Data!$N77)*'1'!X77</f>
        <v>0.26365348399246707</v>
      </c>
      <c r="Y77" s="2">
        <f>('1'!$J77-Data!$N77)*'1'!Y77</f>
        <v>0.25925925925925936</v>
      </c>
      <c r="Z77" s="2">
        <f>('1'!$J77-Data!$N77)</f>
        <v>-0.66666666666666674</v>
      </c>
      <c r="AA77" s="2">
        <f>('1'!$K77-Data!$O77)*'1'!V77</f>
        <v>-0.11728395061728397</v>
      </c>
      <c r="AB77" s="2">
        <f>('1'!$K77-Data!$O77)*'1'!W77</f>
        <v>-1.8518518518518535E-2</v>
      </c>
      <c r="AC77" s="2">
        <f>('1'!$K77-Data!$O77)*'1'!X77</f>
        <v>-0.13182674199623351</v>
      </c>
      <c r="AD77" s="2">
        <f>('1'!$K77-Data!$O77)*'1'!Y77</f>
        <v>-0.12962962962962965</v>
      </c>
      <c r="AE77" s="2">
        <f>('1'!$K77-Data!$O77)</f>
        <v>0.33333333333333331</v>
      </c>
    </row>
    <row r="78" spans="2:31" x14ac:dyDescent="0.25">
      <c r="B78" s="2">
        <f ca="1">B$2*Data!$I78+B$3*Data!$J78+B$4*Data!$K78+B$5*Data!$L78+B$6</f>
        <v>4.311236490448489E-2</v>
      </c>
      <c r="C78" s="2">
        <f ca="1">C$2*Data!$I78+C$3*Data!$J78+C$4*Data!$K78+C$5*Data!$L78+C$6</f>
        <v>0.2720210271396869</v>
      </c>
      <c r="D78" s="2">
        <f ca="1">D$2*Data!$I78+D$3*Data!$J78+D$4*Data!$K78+D$5*Data!$L78+D$6</f>
        <v>0.42815756840780639</v>
      </c>
      <c r="E78" s="2">
        <f ca="1">EXP(B78)</f>
        <v>1.0440552034230155</v>
      </c>
      <c r="F78" s="2">
        <f ca="1">EXP(C78)</f>
        <v>1.3126146015515121</v>
      </c>
      <c r="G78" s="2">
        <f ca="1">EXP(D78)</f>
        <v>1.5344278392718718</v>
      </c>
      <c r="H78" s="2">
        <f ca="1">SUM(E78:G78)</f>
        <v>3.8910976442463996</v>
      </c>
      <c r="I78" s="2">
        <f ca="1">E78/'1'!$H78</f>
        <v>0.27164381425683154</v>
      </c>
      <c r="J78" s="2">
        <f ca="1">F78/H78</f>
        <v>0.33733787264177745</v>
      </c>
      <c r="K78" s="2">
        <f ca="1">G78/H78</f>
        <v>0.39434318528109025</v>
      </c>
      <c r="L78" s="2">
        <f ca="1">-Data!$M78*LOG(I78)</f>
        <v>0</v>
      </c>
      <c r="M78" s="2">
        <f ca="1">-Data!$N78*LOG(J78)</f>
        <v>0.47193489819410822</v>
      </c>
      <c r="N78" s="2">
        <f ca="1">-Data!$O78*LOG(K78)</f>
        <v>0</v>
      </c>
      <c r="O78" s="2">
        <f ca="1">SUM(L78:N78)</f>
        <v>0.47193489819410822</v>
      </c>
      <c r="P78" s="2"/>
      <c r="Q78" s="2">
        <f ca="1">(I78-'1'!Z78)*'1'!V78</f>
        <v>-0.22588956022232362</v>
      </c>
      <c r="R78" s="2">
        <f>('1'!$I78-Data!$M78)*'1'!W78</f>
        <v>-4.6296296296296294E-2</v>
      </c>
      <c r="S78" s="2">
        <f>('1'!$I78-Data!$M78)*'1'!X78</f>
        <v>-0.10922787193973635</v>
      </c>
      <c r="T78" s="2">
        <f>('1'!$I78-Data!$M78)*'1'!Y78</f>
        <v>-9.2592592592592615E-2</v>
      </c>
      <c r="U78" s="2">
        <f>('1'!$I78-Data!$M78)</f>
        <v>0.33333333333333331</v>
      </c>
      <c r="V78" s="2">
        <f>('1'!$J78-Data!$N78)*'1'!V78</f>
        <v>0.16049382716049382</v>
      </c>
      <c r="W78" s="2">
        <f>('1'!$J78-Data!$N78)*'1'!W78</f>
        <v>9.2592592592592601E-2</v>
      </c>
      <c r="X78" s="2">
        <f>('1'!$J78-Data!$N78)*'1'!X78</f>
        <v>0.21845574387947275</v>
      </c>
      <c r="Y78" s="2">
        <f>('1'!$J78-Data!$N78)*'1'!Y78</f>
        <v>0.18518518518518526</v>
      </c>
      <c r="Z78" s="2">
        <f>('1'!$J78-Data!$N78)</f>
        <v>-0.66666666666666674</v>
      </c>
      <c r="AA78" s="2">
        <f>('1'!$K78-Data!$O78)*'1'!V78</f>
        <v>-8.0246913580246895E-2</v>
      </c>
      <c r="AB78" s="2">
        <f>('1'!$K78-Data!$O78)*'1'!W78</f>
        <v>-4.6296296296296294E-2</v>
      </c>
      <c r="AC78" s="2">
        <f>('1'!$K78-Data!$O78)*'1'!X78</f>
        <v>-0.10922787193973635</v>
      </c>
      <c r="AD78" s="2">
        <f>('1'!$K78-Data!$O78)*'1'!Y78</f>
        <v>-9.2592592592592615E-2</v>
      </c>
      <c r="AE78" s="2">
        <f>('1'!$K78-Data!$O78)</f>
        <v>0.33333333333333331</v>
      </c>
    </row>
    <row r="79" spans="2:31" x14ac:dyDescent="0.25">
      <c r="B79" s="2">
        <f ca="1">B$2*Data!$I79+B$3*Data!$J79+B$4*Data!$K79+B$5*Data!$L79+B$6</f>
        <v>4.9786817444020456E-2</v>
      </c>
      <c r="C79" s="2">
        <f ca="1">C$2*Data!$I79+C$3*Data!$J79+C$4*Data!$K79+C$5*Data!$L79+C$6</f>
        <v>0.35197568232692911</v>
      </c>
      <c r="D79" s="2">
        <f ca="1">D$2*Data!$I79+D$3*Data!$J79+D$4*Data!$K79+D$5*Data!$L79+D$6</f>
        <v>0.58729117254543539</v>
      </c>
      <c r="E79" s="2">
        <f ca="1">EXP(B79)</f>
        <v>1.0510470076034286</v>
      </c>
      <c r="F79" s="2">
        <f ca="1">EXP(C79)</f>
        <v>1.4218739466323798</v>
      </c>
      <c r="G79" s="2">
        <f ca="1">EXP(D79)</f>
        <v>1.7991083346828871</v>
      </c>
      <c r="H79" s="2">
        <f ca="1">SUM(E79:G79)</f>
        <v>4.272029288918695</v>
      </c>
      <c r="I79" s="2">
        <f ca="1">E79/'1'!$H79</f>
        <v>0.25195367728562246</v>
      </c>
      <c r="J79" s="2">
        <f ca="1">F79/H79</f>
        <v>0.33283337975247684</v>
      </c>
      <c r="K79" s="2">
        <f ca="1">G79/H79</f>
        <v>0.42113670413019672</v>
      </c>
      <c r="L79" s="2">
        <f ca="1">-Data!$M79*LOG(I79)</f>
        <v>0</v>
      </c>
      <c r="M79" s="2">
        <f ca="1">-Data!$N79*LOG(J79)</f>
        <v>0.47777312494335727</v>
      </c>
      <c r="N79" s="2">
        <f ca="1">-Data!$O79*LOG(K79)</f>
        <v>0</v>
      </c>
      <c r="O79" s="2">
        <f ca="1">SUM(L79:N79)</f>
        <v>0.47777312494335727</v>
      </c>
      <c r="P79" s="2"/>
      <c r="Q79" s="2">
        <f ca="1">(I79-'1'!Z79)*'1'!V79</f>
        <v>-0.2721838056154931</v>
      </c>
      <c r="R79" s="2">
        <f>('1'!$I79-Data!$M79)*'1'!W79</f>
        <v>-0.11111111111111112</v>
      </c>
      <c r="S79" s="2">
        <f>('1'!$I79-Data!$M79)*'1'!X79</f>
        <v>-0.1431261770244821</v>
      </c>
      <c r="T79" s="2">
        <f>('1'!$I79-Data!$M79)*'1'!Y79</f>
        <v>-0.15740740740740741</v>
      </c>
      <c r="U79" s="2">
        <f>('1'!$I79-Data!$M79)</f>
        <v>0.33333333333333337</v>
      </c>
      <c r="V79" s="2">
        <f>('1'!$J79-Data!$N79)*'1'!V79</f>
        <v>0.19753086419753088</v>
      </c>
      <c r="W79" s="2">
        <f>('1'!$J79-Data!$N79)*'1'!W79</f>
        <v>0.22222222222222221</v>
      </c>
      <c r="X79" s="2">
        <f>('1'!$J79-Data!$N79)*'1'!X79</f>
        <v>0.28625235404896415</v>
      </c>
      <c r="Y79" s="2">
        <f>('1'!$J79-Data!$N79)*'1'!Y79</f>
        <v>0.31481481481481477</v>
      </c>
      <c r="Z79" s="2">
        <f>('1'!$J79-Data!$N79)</f>
        <v>-0.66666666666666663</v>
      </c>
      <c r="AA79" s="2">
        <f>('1'!$K79-Data!$O79)*'1'!V79</f>
        <v>-9.8765432098765454E-2</v>
      </c>
      <c r="AB79" s="2">
        <f>('1'!$K79-Data!$O79)*'1'!W79</f>
        <v>-0.11111111111111112</v>
      </c>
      <c r="AC79" s="2">
        <f>('1'!$K79-Data!$O79)*'1'!X79</f>
        <v>-0.1431261770244821</v>
      </c>
      <c r="AD79" s="2">
        <f>('1'!$K79-Data!$O79)*'1'!Y79</f>
        <v>-0.15740740740740741</v>
      </c>
      <c r="AE79" s="2">
        <f>('1'!$K79-Data!$O79)</f>
        <v>0.33333333333333337</v>
      </c>
    </row>
    <row r="80" spans="2:31" x14ac:dyDescent="0.25">
      <c r="B80" s="2">
        <f ca="1">B$2*Data!$I80+B$3*Data!$J80+B$4*Data!$K80+B$5*Data!$L80+B$6</f>
        <v>5.298634385606564E-2</v>
      </c>
      <c r="C80" s="2">
        <f ca="1">C$2*Data!$I80+C$3*Data!$J80+C$4*Data!$K80+C$5*Data!$L80+C$6</f>
        <v>0.30576063045953139</v>
      </c>
      <c r="D80" s="2">
        <f ca="1">D$2*Data!$I80+D$3*Data!$J80+D$4*Data!$K80+D$5*Data!$L80+D$6</f>
        <v>0.49379539856575971</v>
      </c>
      <c r="E80" s="2">
        <f ca="1">EXP(B80)</f>
        <v>1.0544152457746734</v>
      </c>
      <c r="F80" s="2">
        <f ca="1">EXP(C80)</f>
        <v>1.3576572858487892</v>
      </c>
      <c r="G80" s="2">
        <f ca="1">EXP(D80)</f>
        <v>1.638523282282105</v>
      </c>
      <c r="H80" s="2">
        <f ca="1">SUM(E80:G80)</f>
        <v>4.0505958139055682</v>
      </c>
      <c r="I80" s="2">
        <f ca="1">E80/'1'!$H80</f>
        <v>0.26452838023299285</v>
      </c>
      <c r="J80" s="2">
        <f ca="1">F80/H80</f>
        <v>0.33517471212210176</v>
      </c>
      <c r="K80" s="2">
        <f ca="1">G80/H80</f>
        <v>0.40451414003270975</v>
      </c>
      <c r="L80" s="2">
        <f ca="1">-Data!$M80*LOG(I80)</f>
        <v>0</v>
      </c>
      <c r="M80" s="2">
        <f ca="1">-Data!$N80*LOG(J80)</f>
        <v>0.4747287549585662</v>
      </c>
      <c r="N80" s="2">
        <f ca="1">-Data!$O80*LOG(K80)</f>
        <v>0</v>
      </c>
      <c r="O80" s="2">
        <f ca="1">SUM(L80:N80)</f>
        <v>0.4747287549585662</v>
      </c>
      <c r="P80" s="2"/>
      <c r="Q80" s="2">
        <f ca="1">(I80-'1'!Z80)*'1'!V80</f>
        <v>-0.31039834896655316</v>
      </c>
      <c r="R80" s="2">
        <f>('1'!$I80-Data!$M80)*'1'!W80</f>
        <v>-7.4074074074074042E-2</v>
      </c>
      <c r="S80" s="2">
        <f>('1'!$I80-Data!$M80)*'1'!X80</f>
        <v>-0.11299435028248589</v>
      </c>
      <c r="T80" s="2">
        <f>('1'!$I80-Data!$M80)*'1'!Y80</f>
        <v>-0.11111111111111112</v>
      </c>
      <c r="U80" s="2">
        <f>('1'!$I80-Data!$M80)</f>
        <v>0.33333333333333331</v>
      </c>
      <c r="V80" s="2">
        <f>('1'!$J80-Data!$N80)*'1'!V80</f>
        <v>0.22222222222222224</v>
      </c>
      <c r="W80" s="2">
        <f>('1'!$J80-Data!$N80)*'1'!W80</f>
        <v>0.14814814814814811</v>
      </c>
      <c r="X80" s="2">
        <f>('1'!$J80-Data!$N80)*'1'!X80</f>
        <v>0.22598870056497181</v>
      </c>
      <c r="Y80" s="2">
        <f>('1'!$J80-Data!$N80)*'1'!Y80</f>
        <v>0.22222222222222227</v>
      </c>
      <c r="Z80" s="2">
        <f>('1'!$J80-Data!$N80)</f>
        <v>-0.66666666666666674</v>
      </c>
      <c r="AA80" s="2">
        <f>('1'!$K80-Data!$O80)*'1'!V80</f>
        <v>-0.1111111111111111</v>
      </c>
      <c r="AB80" s="2">
        <f>('1'!$K80-Data!$O80)*'1'!W80</f>
        <v>-7.4074074074074042E-2</v>
      </c>
      <c r="AC80" s="2">
        <f>('1'!$K80-Data!$O80)*'1'!X80</f>
        <v>-0.11299435028248589</v>
      </c>
      <c r="AD80" s="2">
        <f>('1'!$K80-Data!$O80)*'1'!Y80</f>
        <v>-0.11111111111111112</v>
      </c>
      <c r="AE80" s="2">
        <f>('1'!$K80-Data!$O80)</f>
        <v>0.33333333333333331</v>
      </c>
    </row>
    <row r="81" spans="2:31" x14ac:dyDescent="0.25">
      <c r="B81" s="2">
        <f ca="1">B$2*Data!$I81+B$3*Data!$J81+B$4*Data!$K81+B$5*Data!$L81+B$6</f>
        <v>7.4514342556835644E-3</v>
      </c>
      <c r="C81" s="2">
        <f ca="1">C$2*Data!$I81+C$3*Data!$J81+C$4*Data!$K81+C$5*Data!$L81+C$6</f>
        <v>0.33920615498833739</v>
      </c>
      <c r="D81" s="2">
        <f ca="1">D$2*Data!$I81+D$3*Data!$J81+D$4*Data!$K81+D$5*Data!$L81+D$6</f>
        <v>0.55581416216840929</v>
      </c>
      <c r="E81" s="2">
        <f ca="1">EXP(B81)</f>
        <v>1.007479265275977</v>
      </c>
      <c r="F81" s="2">
        <f ca="1">EXP(C81)</f>
        <v>1.4038327225019505</v>
      </c>
      <c r="G81" s="2">
        <f ca="1">EXP(D81)</f>
        <v>1.7433597847117248</v>
      </c>
      <c r="H81" s="2">
        <f ca="1">SUM(E81:G81)</f>
        <v>4.1546717724896522</v>
      </c>
      <c r="I81" s="2">
        <f ca="1">E81/'1'!$H81</f>
        <v>0.24858143732226948</v>
      </c>
      <c r="J81" s="2">
        <f ca="1">F81/H81</f>
        <v>0.33789256994920575</v>
      </c>
      <c r="K81" s="2">
        <f ca="1">G81/H81</f>
        <v>0.41961432338782112</v>
      </c>
      <c r="L81" s="2">
        <f ca="1">-Data!$M81*LOG(I81)</f>
        <v>0</v>
      </c>
      <c r="M81" s="2">
        <f ca="1">-Data!$N81*LOG(J81)</f>
        <v>0.4712213579899393</v>
      </c>
      <c r="N81" s="2">
        <f ca="1">-Data!$O81*LOG(K81)</f>
        <v>0</v>
      </c>
      <c r="O81" s="2">
        <f ca="1">SUM(L81:N81)</f>
        <v>0.4712213579899393</v>
      </c>
      <c r="P81" s="2"/>
      <c r="Q81" s="2">
        <f ca="1">(I81-'1'!Z81)*'1'!V81</f>
        <v>-0.33898077925516151</v>
      </c>
      <c r="R81" s="2">
        <f>('1'!$I81-Data!$M81)*'1'!W81</f>
        <v>-4.6296296296296294E-2</v>
      </c>
      <c r="S81" s="2">
        <f>('1'!$I81-Data!$M81)*'1'!X81</f>
        <v>-0.14689265536723164</v>
      </c>
      <c r="T81" s="2">
        <f>('1'!$I81-Data!$M81)*'1'!Y81</f>
        <v>-0.12962962962962965</v>
      </c>
      <c r="U81" s="2">
        <f>('1'!$I81-Data!$M81)</f>
        <v>0.33333333333333331</v>
      </c>
      <c r="V81" s="2">
        <f>('1'!$J81-Data!$N81)*'1'!V81</f>
        <v>0.24691358024691359</v>
      </c>
      <c r="W81" s="2">
        <f>('1'!$J81-Data!$N81)*'1'!W81</f>
        <v>9.2592592592592601E-2</v>
      </c>
      <c r="X81" s="2">
        <f>('1'!$J81-Data!$N81)*'1'!X81</f>
        <v>0.29378531073446335</v>
      </c>
      <c r="Y81" s="2">
        <f>('1'!$J81-Data!$N81)*'1'!Y81</f>
        <v>0.25925925925925936</v>
      </c>
      <c r="Z81" s="2">
        <f>('1'!$J81-Data!$N81)</f>
        <v>-0.66666666666666674</v>
      </c>
      <c r="AA81" s="2">
        <f>('1'!$K81-Data!$O81)*'1'!V81</f>
        <v>-0.12345679012345678</v>
      </c>
      <c r="AB81" s="2">
        <f>('1'!$K81-Data!$O81)*'1'!W81</f>
        <v>-4.6296296296296294E-2</v>
      </c>
      <c r="AC81" s="2">
        <f>('1'!$K81-Data!$O81)*'1'!X81</f>
        <v>-0.14689265536723164</v>
      </c>
      <c r="AD81" s="2">
        <f>('1'!$K81-Data!$O81)*'1'!Y81</f>
        <v>-0.12962962962962965</v>
      </c>
      <c r="AE81" s="2">
        <f>('1'!$K81-Data!$O81)</f>
        <v>0.33333333333333331</v>
      </c>
    </row>
    <row r="82" spans="2:31" x14ac:dyDescent="0.25">
      <c r="B82" s="2">
        <f ca="1">B$2*Data!$I82+B$3*Data!$J82+B$4*Data!$K82+B$5*Data!$L82+B$6</f>
        <v>4.58992068051969E-2</v>
      </c>
      <c r="C82" s="2">
        <f ca="1">C$2*Data!$I82+C$3*Data!$J82+C$4*Data!$K82+C$5*Data!$L82+C$6</f>
        <v>0.31739374361613815</v>
      </c>
      <c r="D82" s="2">
        <f ca="1">D$2*Data!$I82+D$3*Data!$J82+D$4*Data!$K82+D$5*Data!$L82+D$6</f>
        <v>0.51234264279900477</v>
      </c>
      <c r="E82" s="2">
        <f ca="1">EXP(B82)</f>
        <v>1.0469688783004365</v>
      </c>
      <c r="F82" s="2">
        <f ca="1">EXP(C82)</f>
        <v>1.3735432893681305</v>
      </c>
      <c r="G82" s="2">
        <f ca="1">EXP(D82)</f>
        <v>1.6691969504807875</v>
      </c>
      <c r="H82" s="2">
        <f ca="1">SUM(E82:G82)</f>
        <v>4.0897091181493543</v>
      </c>
      <c r="I82" s="2">
        <f ca="1">E82/'1'!$H82</f>
        <v>0.26064613063559378</v>
      </c>
      <c r="J82" s="2">
        <f ca="1">F82/H82</f>
        <v>0.33585354109234949</v>
      </c>
      <c r="K82" s="2">
        <f ca="1">G82/H82</f>
        <v>0.40814564123233305</v>
      </c>
      <c r="L82" s="2">
        <f ca="1">-Data!$M82*LOG(I82)</f>
        <v>0</v>
      </c>
      <c r="M82" s="2">
        <f ca="1">-Data!$N82*LOG(J82)</f>
        <v>0.47385006833071974</v>
      </c>
      <c r="N82" s="2">
        <f ca="1">-Data!$O82*LOG(K82)</f>
        <v>0</v>
      </c>
      <c r="O82" s="2">
        <f ca="1">SUM(L82:N82)</f>
        <v>0.47385006833071974</v>
      </c>
      <c r="P82" s="2"/>
      <c r="Q82" s="2">
        <f ca="1">(I82-'1'!Z82)*'1'!V82</f>
        <v>-0.30910426576742006</v>
      </c>
      <c r="R82" s="2">
        <f>('1'!$I82-Data!$M82)*'1'!W82</f>
        <v>-7.4074074074074056E-2</v>
      </c>
      <c r="S82" s="2">
        <f>('1'!$I82-Data!$M82)*'1'!X82</f>
        <v>-0.13935969868173259</v>
      </c>
      <c r="T82" s="2">
        <f>('1'!$I82-Data!$M82)*'1'!Y82</f>
        <v>-0.10185185185185185</v>
      </c>
      <c r="U82" s="2">
        <f>('1'!$I82-Data!$M82)</f>
        <v>0.33333333333333337</v>
      </c>
      <c r="V82" s="2">
        <f>('1'!$J82-Data!$N82)*'1'!V82</f>
        <v>0.22222222222222215</v>
      </c>
      <c r="W82" s="2">
        <f>('1'!$J82-Data!$N82)*'1'!W82</f>
        <v>0.14814814814814808</v>
      </c>
      <c r="X82" s="2">
        <f>('1'!$J82-Data!$N82)*'1'!X82</f>
        <v>0.27871939736346513</v>
      </c>
      <c r="Y82" s="2">
        <f>('1'!$J82-Data!$N82)*'1'!Y82</f>
        <v>0.20370370370370366</v>
      </c>
      <c r="Z82" s="2">
        <f>('1'!$J82-Data!$N82)</f>
        <v>-0.66666666666666663</v>
      </c>
      <c r="AA82" s="2">
        <f>('1'!$K82-Data!$O82)*'1'!V82</f>
        <v>-0.1111111111111111</v>
      </c>
      <c r="AB82" s="2">
        <f>('1'!$K82-Data!$O82)*'1'!W82</f>
        <v>-7.4074074074074056E-2</v>
      </c>
      <c r="AC82" s="2">
        <f>('1'!$K82-Data!$O82)*'1'!X82</f>
        <v>-0.13935969868173259</v>
      </c>
      <c r="AD82" s="2">
        <f>('1'!$K82-Data!$O82)*'1'!Y82</f>
        <v>-0.10185185185185185</v>
      </c>
      <c r="AE82" s="2">
        <f>('1'!$K82-Data!$O82)</f>
        <v>0.33333333333333337</v>
      </c>
    </row>
    <row r="83" spans="2:31" x14ac:dyDescent="0.25">
      <c r="B83" s="2">
        <f ca="1">B$2*Data!$I83+B$3*Data!$J83+B$4*Data!$K83+B$5*Data!$L83+B$6</f>
        <v>5.4151490587351178E-2</v>
      </c>
      <c r="C83" s="2">
        <f ca="1">C$2*Data!$I83+C$3*Data!$J83+C$4*Data!$K83+C$5*Data!$L83+C$6</f>
        <v>0.32411292807338576</v>
      </c>
      <c r="D83" s="2">
        <f ca="1">D$2*Data!$I83+D$3*Data!$J83+D$4*Data!$K83+D$5*Data!$L83+D$6</f>
        <v>0.52703219150875547</v>
      </c>
      <c r="E83" s="2">
        <f ca="1">EXP(B83)</f>
        <v>1.0556445102493803</v>
      </c>
      <c r="F83" s="2">
        <f ca="1">EXP(C83)</f>
        <v>1.3828034556326541</v>
      </c>
      <c r="G83" s="2">
        <f ca="1">EXP(D83)</f>
        <v>1.6938976774928567</v>
      </c>
      <c r="H83" s="2">
        <f ca="1">SUM(E83:G83)</f>
        <v>4.1323456433748911</v>
      </c>
      <c r="I83" s="2">
        <f ca="1">E83/'1'!$H83</f>
        <v>0.26022039478081216</v>
      </c>
      <c r="J83" s="2">
        <f ca="1">F83/H83</f>
        <v>0.33462918520613322</v>
      </c>
      <c r="K83" s="2">
        <f ca="1">G83/H83</f>
        <v>0.40991190565304425</v>
      </c>
      <c r="L83" s="2">
        <f ca="1">-Data!$M83*LOG(I83)</f>
        <v>0</v>
      </c>
      <c r="M83" s="2">
        <f ca="1">-Data!$N83*LOG(J83)</f>
        <v>0.47543618405136789</v>
      </c>
      <c r="N83" s="2">
        <f ca="1">-Data!$O83*LOG(K83)</f>
        <v>0</v>
      </c>
      <c r="O83" s="2">
        <f ca="1">SUM(L83:N83)</f>
        <v>0.47543618405136789</v>
      </c>
      <c r="P83" s="2"/>
      <c r="Q83" s="2">
        <f ca="1">(I83-'1'!Z83)*'1'!V83</f>
        <v>-0.36045607945179731</v>
      </c>
      <c r="R83" s="2">
        <f>('1'!$I83-Data!$M83)*'1'!W83</f>
        <v>-8.3333333333333315E-2</v>
      </c>
      <c r="S83" s="2">
        <f>('1'!$I83-Data!$M83)*'1'!X83</f>
        <v>-0.12429378531073446</v>
      </c>
      <c r="T83" s="2">
        <f>('1'!$I83-Data!$M83)*'1'!Y83</f>
        <v>-0.11111111111111112</v>
      </c>
      <c r="U83" s="2">
        <f>('1'!$I83-Data!$M83)</f>
        <v>0.33333333333333337</v>
      </c>
      <c r="V83" s="2">
        <f>('1'!$J83-Data!$N83)*'1'!V83</f>
        <v>0.25925925925925924</v>
      </c>
      <c r="W83" s="2">
        <f>('1'!$J83-Data!$N83)*'1'!W83</f>
        <v>0.1666666666666666</v>
      </c>
      <c r="X83" s="2">
        <f>('1'!$J83-Data!$N83)*'1'!X83</f>
        <v>0.24858757062146888</v>
      </c>
      <c r="Y83" s="2">
        <f>('1'!$J83-Data!$N83)*'1'!Y83</f>
        <v>0.22222222222222221</v>
      </c>
      <c r="Z83" s="2">
        <f>('1'!$J83-Data!$N83)</f>
        <v>-0.66666666666666663</v>
      </c>
      <c r="AA83" s="2">
        <f>('1'!$K83-Data!$O83)*'1'!V83</f>
        <v>-0.12962962962962965</v>
      </c>
      <c r="AB83" s="2">
        <f>('1'!$K83-Data!$O83)*'1'!W83</f>
        <v>-8.3333333333333315E-2</v>
      </c>
      <c r="AC83" s="2">
        <f>('1'!$K83-Data!$O83)*'1'!X83</f>
        <v>-0.12429378531073446</v>
      </c>
      <c r="AD83" s="2">
        <f>('1'!$K83-Data!$O83)*'1'!Y83</f>
        <v>-0.11111111111111112</v>
      </c>
      <c r="AE83" s="2">
        <f>('1'!$K83-Data!$O83)</f>
        <v>0.33333333333333337</v>
      </c>
    </row>
    <row r="84" spans="2:31" x14ac:dyDescent="0.25">
      <c r="B84" s="2">
        <f ca="1">B$2*Data!$I84+B$3*Data!$J84+B$4*Data!$K84+B$5*Data!$L84+B$6</f>
        <v>5.4851086822882575E-2</v>
      </c>
      <c r="C84" s="2">
        <f ca="1">C$2*Data!$I84+C$3*Data!$J84+C$4*Data!$K84+C$5*Data!$L84+C$6</f>
        <v>0.33977189867718088</v>
      </c>
      <c r="D84" s="2">
        <f ca="1">D$2*Data!$I84+D$3*Data!$J84+D$4*Data!$K84+D$5*Data!$L84+D$6</f>
        <v>0.55742503709880742</v>
      </c>
      <c r="E84" s="2">
        <f ca="1">EXP(B84)</f>
        <v>1.0563832935696928</v>
      </c>
      <c r="F84" s="2">
        <f ca="1">EXP(C84)</f>
        <v>1.4046271567067774</v>
      </c>
      <c r="G84" s="2">
        <f ca="1">EXP(D84)</f>
        <v>1.7461703824365158</v>
      </c>
      <c r="H84" s="2">
        <f ca="1">SUM(E84:G84)</f>
        <v>4.2071808327129858</v>
      </c>
      <c r="I84" s="2">
        <f ca="1">E84/'1'!$H84</f>
        <v>0.2563759024103297</v>
      </c>
      <c r="J84" s="2">
        <f ca="1">F84/H84</f>
        <v>0.33386422228041207</v>
      </c>
      <c r="K84" s="2">
        <f ca="1">G84/H84</f>
        <v>0.41504524095069711</v>
      </c>
      <c r="L84" s="2">
        <f ca="1">-Data!$M84*LOG(I84)</f>
        <v>0</v>
      </c>
      <c r="M84" s="2">
        <f ca="1">-Data!$N84*LOG(J84)</f>
        <v>0.47643011852787326</v>
      </c>
      <c r="N84" s="2">
        <f ca="1">-Data!$O84*LOG(K84)</f>
        <v>0</v>
      </c>
      <c r="O84" s="2">
        <f ca="1">SUM(L84:N84)</f>
        <v>0.47643011852787326</v>
      </c>
      <c r="P84" s="2"/>
      <c r="Q84" s="2">
        <f ca="1">(I84-'1'!Z84)*'1'!V84</f>
        <v>-0.39314776090316511</v>
      </c>
      <c r="R84" s="2">
        <f>('1'!$I84-Data!$M84)*'1'!W84</f>
        <v>-9.2592592592592587E-2</v>
      </c>
      <c r="S84" s="2">
        <f>('1'!$I84-Data!$M84)*'1'!X84</f>
        <v>-0.128060263653484</v>
      </c>
      <c r="T84" s="2">
        <f>('1'!$I84-Data!$M84)*'1'!Y84</f>
        <v>-0.12037037037037036</v>
      </c>
      <c r="U84" s="2">
        <f>('1'!$I84-Data!$M84)</f>
        <v>0.33333333333333331</v>
      </c>
      <c r="V84" s="2">
        <f>('1'!$J84-Data!$N84)*'1'!V84</f>
        <v>0.2839506172839506</v>
      </c>
      <c r="W84" s="2">
        <f>('1'!$J84-Data!$N84)*'1'!W84</f>
        <v>0.1851851851851852</v>
      </c>
      <c r="X84" s="2">
        <f>('1'!$J84-Data!$N84)*'1'!X84</f>
        <v>0.25612052730696805</v>
      </c>
      <c r="Y84" s="2">
        <f>('1'!$J84-Data!$N84)*'1'!Y84</f>
        <v>0.24074074074074076</v>
      </c>
      <c r="Z84" s="2">
        <f>('1'!$J84-Data!$N84)</f>
        <v>-0.66666666666666674</v>
      </c>
      <c r="AA84" s="2">
        <f>('1'!$K84-Data!$O84)*'1'!V84</f>
        <v>-0.14197530864197527</v>
      </c>
      <c r="AB84" s="2">
        <f>('1'!$K84-Data!$O84)*'1'!W84</f>
        <v>-9.2592592592592587E-2</v>
      </c>
      <c r="AC84" s="2">
        <f>('1'!$K84-Data!$O84)*'1'!X84</f>
        <v>-0.128060263653484</v>
      </c>
      <c r="AD84" s="2">
        <f>('1'!$K84-Data!$O84)*'1'!Y84</f>
        <v>-0.12037037037037036</v>
      </c>
      <c r="AE84" s="2">
        <f>('1'!$K84-Data!$O84)</f>
        <v>0.33333333333333331</v>
      </c>
    </row>
    <row r="85" spans="2:31" x14ac:dyDescent="0.25">
      <c r="B85" s="2">
        <f ca="1">B$2*Data!$I85+B$3*Data!$J85+B$4*Data!$K85+B$5*Data!$L85+B$6</f>
        <v>3.2888669295872336E-2</v>
      </c>
      <c r="C85" s="2">
        <f ca="1">C$2*Data!$I85+C$3*Data!$J85+C$4*Data!$K85+C$5*Data!$L85+C$6</f>
        <v>0.35229975640100319</v>
      </c>
      <c r="D85" s="2">
        <f ca="1">D$2*Data!$I85+D$3*Data!$J85+D$4*Data!$K85+D$5*Data!$L85+D$6</f>
        <v>0.57886524661950944</v>
      </c>
      <c r="E85" s="2">
        <f ca="1">EXP(B85)</f>
        <v>1.0334354797369669</v>
      </c>
      <c r="F85" s="2">
        <f ca="1">EXP(C85)</f>
        <v>1.4223348137885996</v>
      </c>
      <c r="G85" s="2">
        <f ca="1">EXP(D85)</f>
        <v>1.7840128670780597</v>
      </c>
      <c r="H85" s="2">
        <f ca="1">SUM(E85:G85)</f>
        <v>4.2397831606036265</v>
      </c>
      <c r="I85" s="2">
        <f ca="1">E85/'1'!$H85</f>
        <v>0.24980495553483095</v>
      </c>
      <c r="J85" s="2">
        <f ca="1">F85/H85</f>
        <v>0.33547348057915749</v>
      </c>
      <c r="K85" s="2">
        <f ca="1">G85/H85</f>
        <v>0.42077927089650174</v>
      </c>
      <c r="L85" s="2">
        <f ca="1">-Data!$M85*LOG(I85)</f>
        <v>0</v>
      </c>
      <c r="M85" s="2">
        <f ca="1">-Data!$N85*LOG(J85)</f>
        <v>0.47434180543044718</v>
      </c>
      <c r="N85" s="2">
        <f ca="1">-Data!$O85*LOG(K85)</f>
        <v>0</v>
      </c>
      <c r="O85" s="2">
        <f ca="1">SUM(L85:N85)</f>
        <v>0.47434180543044718</v>
      </c>
      <c r="P85" s="2"/>
      <c r="Q85" s="2">
        <f ca="1">(I85-'1'!Z85)*'1'!V85</f>
        <v>-0.4242924176858785</v>
      </c>
      <c r="R85" s="2">
        <f>('1'!$I85-Data!$M85)*'1'!W85</f>
        <v>-7.4074074074074042E-2</v>
      </c>
      <c r="S85" s="2">
        <f>('1'!$I85-Data!$M85)*'1'!X85</f>
        <v>-0.1431261770244821</v>
      </c>
      <c r="T85" s="2">
        <f>('1'!$I85-Data!$M85)*'1'!Y85</f>
        <v>-0.12037037037037036</v>
      </c>
      <c r="U85" s="2">
        <f>('1'!$I85-Data!$M85)</f>
        <v>0.33333333333333331</v>
      </c>
      <c r="V85" s="2">
        <f>('1'!$J85-Data!$N85)*'1'!V85</f>
        <v>0.30864197530864196</v>
      </c>
      <c r="W85" s="2">
        <f>('1'!$J85-Data!$N85)*'1'!W85</f>
        <v>0.14814814814814811</v>
      </c>
      <c r="X85" s="2">
        <f>('1'!$J85-Data!$N85)*'1'!X85</f>
        <v>0.28625235404896426</v>
      </c>
      <c r="Y85" s="2">
        <f>('1'!$J85-Data!$N85)*'1'!Y85</f>
        <v>0.24074074074074076</v>
      </c>
      <c r="Z85" s="2">
        <f>('1'!$J85-Data!$N85)</f>
        <v>-0.66666666666666674</v>
      </c>
      <c r="AA85" s="2">
        <f>('1'!$K85-Data!$O85)*'1'!V85</f>
        <v>-0.15432098765432095</v>
      </c>
      <c r="AB85" s="2">
        <f>('1'!$K85-Data!$O85)*'1'!W85</f>
        <v>-7.4074074074074042E-2</v>
      </c>
      <c r="AC85" s="2">
        <f>('1'!$K85-Data!$O85)*'1'!X85</f>
        <v>-0.1431261770244821</v>
      </c>
      <c r="AD85" s="2">
        <f>('1'!$K85-Data!$O85)*'1'!Y85</f>
        <v>-0.12037037037037036</v>
      </c>
      <c r="AE85" s="2">
        <f>('1'!$K85-Data!$O85)</f>
        <v>0.33333333333333331</v>
      </c>
    </row>
    <row r="86" spans="2:31" x14ac:dyDescent="0.25">
      <c r="B86" s="2">
        <f ca="1">B$2*Data!$I86+B$3*Data!$J86+B$4*Data!$K86+B$5*Data!$L86+B$6</f>
        <v>3.2430865882161458E-2</v>
      </c>
      <c r="C86" s="2">
        <f ca="1">C$2*Data!$I86+C$3*Data!$J86+C$4*Data!$K86+C$5*Data!$L86+C$6</f>
        <v>0.37321324802011602</v>
      </c>
      <c r="D86" s="2">
        <f ca="1">D$2*Data!$I86+D$3*Data!$J86+D$4*Data!$K86+D$5*Data!$L86+D$6</f>
        <v>0.62274571660619793</v>
      </c>
      <c r="E86" s="2">
        <f ca="1">EXP(B86)</f>
        <v>1.0329624777257223</v>
      </c>
      <c r="F86" s="2">
        <f ca="1">EXP(C86)</f>
        <v>1.452394026962196</v>
      </c>
      <c r="G86" s="2">
        <f ca="1">EXP(D86)</f>
        <v>1.8640391450500047</v>
      </c>
      <c r="H86" s="2">
        <f ca="1">SUM(E86:G86)</f>
        <v>4.3493956497379234</v>
      </c>
      <c r="I86" s="2">
        <f ca="1">E86/'1'!$H86</f>
        <v>0.24439291708006694</v>
      </c>
      <c r="J86" s="2">
        <f ca="1">F86/H86</f>
        <v>0.33393007763037408</v>
      </c>
      <c r="K86" s="2">
        <f ca="1">G86/H86</f>
        <v>0.42857428828355132</v>
      </c>
      <c r="L86" s="2">
        <f ca="1">-Data!$M86*LOG(I86)</f>
        <v>0</v>
      </c>
      <c r="M86" s="2">
        <f ca="1">-Data!$N86*LOG(J86)</f>
        <v>0.47634446156677357</v>
      </c>
      <c r="N86" s="2">
        <f ca="1">-Data!$O86*LOG(K86)</f>
        <v>0</v>
      </c>
      <c r="O86" s="2">
        <f ca="1">SUM(L86:N86)</f>
        <v>0.47634446156677357</v>
      </c>
      <c r="P86" s="2"/>
      <c r="Q86" s="2">
        <f ca="1">(I86-'1'!Z86)*'1'!V86</f>
        <v>-0.40491537055410376</v>
      </c>
      <c r="R86" s="2">
        <f>('1'!$I86-Data!$M86)*'1'!W86</f>
        <v>-9.2592592592592587E-2</v>
      </c>
      <c r="S86" s="2">
        <f>('1'!$I86-Data!$M86)*'1'!X86</f>
        <v>-0.15065913370998116</v>
      </c>
      <c r="T86" s="2">
        <f>('1'!$I86-Data!$M86)*'1'!Y86</f>
        <v>-0.14814814814814817</v>
      </c>
      <c r="U86" s="2">
        <f>('1'!$I86-Data!$M86)</f>
        <v>0.33333333333333337</v>
      </c>
      <c r="V86" s="2">
        <f>('1'!$J86-Data!$N86)*'1'!V86</f>
        <v>0.29629629629629628</v>
      </c>
      <c r="W86" s="2">
        <f>('1'!$J86-Data!$N86)*'1'!W86</f>
        <v>0.18518518518518515</v>
      </c>
      <c r="X86" s="2">
        <f>('1'!$J86-Data!$N86)*'1'!X86</f>
        <v>0.30131826741996226</v>
      </c>
      <c r="Y86" s="2">
        <f>('1'!$J86-Data!$N86)*'1'!Y86</f>
        <v>0.29629629629629628</v>
      </c>
      <c r="Z86" s="2">
        <f>('1'!$J86-Data!$N86)</f>
        <v>-0.66666666666666663</v>
      </c>
      <c r="AA86" s="2">
        <f>('1'!$K86-Data!$O86)*'1'!V86</f>
        <v>-0.14814814814814817</v>
      </c>
      <c r="AB86" s="2">
        <f>('1'!$K86-Data!$O86)*'1'!W86</f>
        <v>-9.2592592592592587E-2</v>
      </c>
      <c r="AC86" s="2">
        <f>('1'!$K86-Data!$O86)*'1'!X86</f>
        <v>-0.15065913370998116</v>
      </c>
      <c r="AD86" s="2">
        <f>('1'!$K86-Data!$O86)*'1'!Y86</f>
        <v>-0.14814814814814817</v>
      </c>
      <c r="AE86" s="2">
        <f>('1'!$K86-Data!$O86)</f>
        <v>0.33333333333333337</v>
      </c>
    </row>
    <row r="87" spans="2:31" x14ac:dyDescent="0.25">
      <c r="B87" s="2">
        <f ca="1">B$2*Data!$I87+B$3*Data!$J87+B$4*Data!$K87+B$5*Data!$L87+B$6</f>
        <v>4.4519304457590891E-2</v>
      </c>
      <c r="C87" s="2">
        <f ca="1">C$2*Data!$I87+C$3*Data!$J87+C$4*Data!$K87+C$5*Data!$L87+C$6</f>
        <v>0.32694578697644922</v>
      </c>
      <c r="D87" s="2">
        <f ca="1">D$2*Data!$I87+D$3*Data!$J87+D$4*Data!$K87+D$5*Data!$L87+D$6</f>
        <v>0.53566767692754269</v>
      </c>
      <c r="E87" s="2">
        <f ca="1">EXP(B87)</f>
        <v>1.0455251598117508</v>
      </c>
      <c r="F87" s="2">
        <f ca="1">EXP(C87)</f>
        <v>1.3867262965170635</v>
      </c>
      <c r="G87" s="2">
        <f ca="1">EXP(D87)</f>
        <v>1.7085886467190474</v>
      </c>
      <c r="H87" s="2">
        <f ca="1">SUM(E87:G87)</f>
        <v>4.1408401030478617</v>
      </c>
      <c r="I87" s="2">
        <f ca="1">E87/'1'!$H87</f>
        <v>0.25756824273385481</v>
      </c>
      <c r="J87" s="2">
        <f ca="1">F87/H87</f>
        <v>0.33489008558827588</v>
      </c>
      <c r="K87" s="2">
        <f ca="1">G87/H87</f>
        <v>0.41261884163588985</v>
      </c>
      <c r="L87" s="2">
        <f ca="1">-Data!$M87*LOG(I87)</f>
        <v>0</v>
      </c>
      <c r="M87" s="2">
        <f ca="1">-Data!$N87*LOG(J87)</f>
        <v>0.47509770954594577</v>
      </c>
      <c r="N87" s="2">
        <f ca="1">-Data!$O87*LOG(K87)</f>
        <v>0</v>
      </c>
      <c r="O87" s="2">
        <f ca="1">SUM(L87:N87)</f>
        <v>0.47509770954594577</v>
      </c>
      <c r="P87" s="2"/>
      <c r="Q87" s="2">
        <f ca="1">(I87-'1'!Z87)*'1'!V87</f>
        <v>-0.29096284184831234</v>
      </c>
      <c r="R87" s="2">
        <f>('1'!$I87-Data!$M87)*'1'!W87</f>
        <v>-8.3333333333333315E-2</v>
      </c>
      <c r="S87" s="2">
        <f>('1'!$I87-Data!$M87)*'1'!X87</f>
        <v>-0.13182674199623351</v>
      </c>
      <c r="T87" s="2">
        <f>('1'!$I87-Data!$M87)*'1'!Y87</f>
        <v>-0.12962962962962965</v>
      </c>
      <c r="U87" s="2">
        <f>('1'!$I87-Data!$M87)</f>
        <v>0.33333333333333331</v>
      </c>
      <c r="V87" s="2">
        <f>('1'!$J87-Data!$N87)*'1'!V87</f>
        <v>0.20987654320987659</v>
      </c>
      <c r="W87" s="2">
        <f>('1'!$J87-Data!$N87)*'1'!W87</f>
        <v>0.16666666666666666</v>
      </c>
      <c r="X87" s="2">
        <f>('1'!$J87-Data!$N87)*'1'!X87</f>
        <v>0.26365348399246707</v>
      </c>
      <c r="Y87" s="2">
        <f>('1'!$J87-Data!$N87)*'1'!Y87</f>
        <v>0.25925925925925936</v>
      </c>
      <c r="Z87" s="2">
        <f>('1'!$J87-Data!$N87)</f>
        <v>-0.66666666666666674</v>
      </c>
      <c r="AA87" s="2">
        <f>('1'!$K87-Data!$O87)*'1'!V87</f>
        <v>-0.10493827160493827</v>
      </c>
      <c r="AB87" s="2">
        <f>('1'!$K87-Data!$O87)*'1'!W87</f>
        <v>-8.3333333333333315E-2</v>
      </c>
      <c r="AC87" s="2">
        <f>('1'!$K87-Data!$O87)*'1'!X87</f>
        <v>-0.13182674199623351</v>
      </c>
      <c r="AD87" s="2">
        <f>('1'!$K87-Data!$O87)*'1'!Y87</f>
        <v>-0.12962962962962965</v>
      </c>
      <c r="AE87" s="2">
        <f>('1'!$K87-Data!$O87)</f>
        <v>0.33333333333333331</v>
      </c>
    </row>
    <row r="88" spans="2:31" x14ac:dyDescent="0.25">
      <c r="B88" s="2">
        <f ca="1">B$2*Data!$I88+B$3*Data!$J88+B$4*Data!$K88+B$5*Data!$L88+B$6</f>
        <v>6.0510739221618599E-2</v>
      </c>
      <c r="C88" s="2">
        <f ca="1">C$2*Data!$I88+C$3*Data!$J88+C$4*Data!$K88+C$5*Data!$L88+C$6</f>
        <v>0.26192565398376583</v>
      </c>
      <c r="D88" s="2">
        <f ca="1">D$2*Data!$I88+D$3*Data!$J88+D$4*Data!$K88+D$5*Data!$L88+D$6</f>
        <v>0.4088489175290797</v>
      </c>
      <c r="E88" s="2">
        <f ca="1">EXP(B88)</f>
        <v>1.0623790066326577</v>
      </c>
      <c r="F88" s="2">
        <f ca="1">EXP(C88)</f>
        <v>1.2994299313993287</v>
      </c>
      <c r="G88" s="2">
        <f ca="1">EXP(D88)</f>
        <v>1.5050843114505155</v>
      </c>
      <c r="H88" s="2">
        <f ca="1">SUM(E88:G88)</f>
        <v>3.8668932494825015</v>
      </c>
      <c r="I88" s="2">
        <f ca="1">E88/'1'!$H88</f>
        <v>0.27751971044392282</v>
      </c>
      <c r="J88" s="2">
        <f ca="1">F88/H88</f>
        <v>0.33603977342100894</v>
      </c>
      <c r="K88" s="2">
        <f ca="1">G88/H88</f>
        <v>0.38922313452845841</v>
      </c>
      <c r="L88" s="2">
        <f ca="1">-Data!$M88*LOG(I88)</f>
        <v>0</v>
      </c>
      <c r="M88" s="2">
        <f ca="1">-Data!$N88*LOG(J88)</f>
        <v>0.47360931679170915</v>
      </c>
      <c r="N88" s="2">
        <f ca="1">-Data!$O88*LOG(K88)</f>
        <v>0</v>
      </c>
      <c r="O88" s="2">
        <f ca="1">SUM(L88:N88)</f>
        <v>0.47360931679170915</v>
      </c>
      <c r="P88" s="2"/>
      <c r="Q88" s="2">
        <f ca="1">(I88-'1'!Z88)*'1'!V88</f>
        <v>-0.24478906073237516</v>
      </c>
      <c r="R88" s="2">
        <f>('1'!$I88-Data!$M88)*'1'!W88</f>
        <v>-5.5555555555555559E-2</v>
      </c>
      <c r="S88" s="2">
        <f>('1'!$I88-Data!$M88)*'1'!X88</f>
        <v>-9.4161958568738227E-2</v>
      </c>
      <c r="T88" s="2">
        <f>('1'!$I88-Data!$M88)*'1'!Y88</f>
        <v>-8.3333333333333329E-2</v>
      </c>
      <c r="U88" s="2">
        <f>('1'!$I88-Data!$M88)</f>
        <v>0.33333333333333331</v>
      </c>
      <c r="V88" s="2">
        <f>('1'!$J88-Data!$N88)*'1'!V88</f>
        <v>0.17283950617283958</v>
      </c>
      <c r="W88" s="2">
        <f>('1'!$J88-Data!$N88)*'1'!W88</f>
        <v>0.11111111111111113</v>
      </c>
      <c r="X88" s="2">
        <f>('1'!$J88-Data!$N88)*'1'!X88</f>
        <v>0.18832391713747648</v>
      </c>
      <c r="Y88" s="2">
        <f>('1'!$J88-Data!$N88)*'1'!Y88</f>
        <v>0.16666666666666669</v>
      </c>
      <c r="Z88" s="2">
        <f>('1'!$J88-Data!$N88)</f>
        <v>-0.66666666666666674</v>
      </c>
      <c r="AA88" s="2">
        <f>('1'!$K88-Data!$O88)*'1'!V88</f>
        <v>-8.6419753086419776E-2</v>
      </c>
      <c r="AB88" s="2">
        <f>('1'!$K88-Data!$O88)*'1'!W88</f>
        <v>-5.5555555555555559E-2</v>
      </c>
      <c r="AC88" s="2">
        <f>('1'!$K88-Data!$O88)*'1'!X88</f>
        <v>-9.4161958568738227E-2</v>
      </c>
      <c r="AD88" s="2">
        <f>('1'!$K88-Data!$O88)*'1'!Y88</f>
        <v>-8.3333333333333329E-2</v>
      </c>
      <c r="AE88" s="2">
        <f>('1'!$K88-Data!$O88)</f>
        <v>0.33333333333333331</v>
      </c>
    </row>
    <row r="89" spans="2:31" x14ac:dyDescent="0.25">
      <c r="B89" s="2">
        <f ca="1">B$2*Data!$I89+B$3*Data!$J89+B$4*Data!$K89+B$5*Data!$L89+B$6</f>
        <v>3.7839723401463785E-2</v>
      </c>
      <c r="C89" s="2">
        <f ca="1">C$2*Data!$I89+C$3*Data!$J89+C$4*Data!$K89+C$5*Data!$L89+C$6</f>
        <v>0.26476933534247621</v>
      </c>
      <c r="D89" s="2">
        <f ca="1">D$2*Data!$I89+D$3*Data!$J89+D$4*Data!$K89+D$5*Data!$L89+D$6</f>
        <v>0.41476382261199307</v>
      </c>
      <c r="E89" s="2">
        <f ca="1">EXP(B89)</f>
        <v>1.0385647619107552</v>
      </c>
      <c r="F89" s="2">
        <f ca="1">EXP(C89)</f>
        <v>1.3031303549913633</v>
      </c>
      <c r="G89" s="2">
        <f ca="1">EXP(D89)</f>
        <v>1.5140131227983298</v>
      </c>
      <c r="H89" s="2">
        <f ca="1">SUM(E89:G89)</f>
        <v>3.8557082397004487</v>
      </c>
      <c r="I89" s="2">
        <f ca="1">E89/'1'!$H89</f>
        <v>0.27255990367117205</v>
      </c>
      <c r="J89" s="2">
        <f ca="1">F89/H89</f>
        <v>0.33797431599560135</v>
      </c>
      <c r="K89" s="2">
        <f ca="1">G89/H89</f>
        <v>0.39266796880771093</v>
      </c>
      <c r="L89" s="2">
        <f ca="1">-Data!$M89*LOG(I89)</f>
        <v>0</v>
      </c>
      <c r="M89" s="2">
        <f ca="1">-Data!$N89*LOG(J89)</f>
        <v>0.47111630222295786</v>
      </c>
      <c r="N89" s="2">
        <f ca="1">-Data!$O89*LOG(K89)</f>
        <v>0</v>
      </c>
      <c r="O89" s="2">
        <f ca="1">SUM(L89:N89)</f>
        <v>0.47111630222295786</v>
      </c>
      <c r="P89" s="2"/>
      <c r="Q89" s="2">
        <f ca="1">(I89-'1'!Z89)*'1'!V89</f>
        <v>-0.2087170156306308</v>
      </c>
      <c r="R89" s="2">
        <f>('1'!$I89-Data!$M89)*'1'!W89</f>
        <v>-3.7037037037037028E-2</v>
      </c>
      <c r="S89" s="2">
        <f>('1'!$I89-Data!$M89)*'1'!X89</f>
        <v>-0.10546139359698682</v>
      </c>
      <c r="T89" s="2">
        <f>('1'!$I89-Data!$M89)*'1'!Y89</f>
        <v>-9.2592592592592601E-2</v>
      </c>
      <c r="U89" s="2">
        <f>('1'!$I89-Data!$M89)</f>
        <v>0.33333333333333337</v>
      </c>
      <c r="V89" s="2">
        <f>('1'!$J89-Data!$N89)*'1'!V89</f>
        <v>0.14814814814814814</v>
      </c>
      <c r="W89" s="2">
        <f>('1'!$J89-Data!$N89)*'1'!W89</f>
        <v>7.4074074074074042E-2</v>
      </c>
      <c r="X89" s="2">
        <f>('1'!$J89-Data!$N89)*'1'!X89</f>
        <v>0.21092278719397362</v>
      </c>
      <c r="Y89" s="2">
        <f>('1'!$J89-Data!$N89)*'1'!Y89</f>
        <v>0.18518518518518517</v>
      </c>
      <c r="Z89" s="2">
        <f>('1'!$J89-Data!$N89)</f>
        <v>-0.66666666666666663</v>
      </c>
      <c r="AA89" s="2">
        <f>('1'!$K89-Data!$O89)*'1'!V89</f>
        <v>-7.4074074074074084E-2</v>
      </c>
      <c r="AB89" s="2">
        <f>('1'!$K89-Data!$O89)*'1'!W89</f>
        <v>-3.7037037037037028E-2</v>
      </c>
      <c r="AC89" s="2">
        <f>('1'!$K89-Data!$O89)*'1'!X89</f>
        <v>-0.10546139359698682</v>
      </c>
      <c r="AD89" s="2">
        <f>('1'!$K89-Data!$O89)*'1'!Y89</f>
        <v>-9.2592592592592601E-2</v>
      </c>
      <c r="AE89" s="2">
        <f>('1'!$K89-Data!$O89)</f>
        <v>0.33333333333333337</v>
      </c>
    </row>
    <row r="90" spans="2:31" x14ac:dyDescent="0.25">
      <c r="B90" s="2">
        <f ca="1">B$2*Data!$I90+B$3*Data!$J90+B$4*Data!$K90+B$5*Data!$L90+B$6</f>
        <v>4.3561166260582602E-2</v>
      </c>
      <c r="C90" s="2">
        <f ca="1">C$2*Data!$I90+C$3*Data!$J90+C$4*Data!$K90+C$5*Data!$L90+C$6</f>
        <v>0.25708232975925721</v>
      </c>
      <c r="D90" s="2">
        <f ca="1">D$2*Data!$I90+D$3*Data!$J90+D$4*Data!$K90+D$5*Data!$L90+D$6</f>
        <v>0.39914463957338131</v>
      </c>
      <c r="E90" s="2">
        <f ca="1">EXP(B90)</f>
        <v>1.0445238819780713</v>
      </c>
      <c r="F90" s="2">
        <f ca="1">EXP(C90)</f>
        <v>1.2931515872357209</v>
      </c>
      <c r="G90" s="2">
        <f ca="1">EXP(D90)</f>
        <v>1.4905491954162868</v>
      </c>
      <c r="H90" s="2">
        <f ca="1">SUM(E90:G90)</f>
        <v>3.828224664630079</v>
      </c>
      <c r="I90" s="2">
        <f ca="1">E90/'1'!$H90</f>
        <v>0.27573532678890444</v>
      </c>
      <c r="J90" s="2">
        <f ca="1">F90/H90</f>
        <v>0.33779406918916499</v>
      </c>
      <c r="K90" s="2">
        <f ca="1">G90/H90</f>
        <v>0.38935781621905369</v>
      </c>
      <c r="L90" s="2">
        <f ca="1">-Data!$M90*LOG(I90)</f>
        <v>0</v>
      </c>
      <c r="M90" s="2">
        <f ca="1">-Data!$N90*LOG(J90)</f>
        <v>0.47134797981246507</v>
      </c>
      <c r="N90" s="2">
        <f ca="1">-Data!$O90*LOG(K90)</f>
        <v>0</v>
      </c>
      <c r="O90" s="2">
        <f ca="1">SUM(L90:N90)</f>
        <v>0.47134797981246507</v>
      </c>
      <c r="P90" s="2"/>
      <c r="Q90" s="2">
        <f ca="1">(I90-'1'!Z90)*'1'!V90</f>
        <v>-0.20942266521234917</v>
      </c>
      <c r="R90" s="2">
        <f>('1'!$I90-Data!$M90)*'1'!W90</f>
        <v>-3.7037037037037021E-2</v>
      </c>
      <c r="S90" s="2">
        <f>('1'!$I90-Data!$M90)*'1'!X90</f>
        <v>-0.10169491525423729</v>
      </c>
      <c r="T90" s="2">
        <f>('1'!$I90-Data!$M90)*'1'!Y90</f>
        <v>-8.3333333333333329E-2</v>
      </c>
      <c r="U90" s="2">
        <f>('1'!$I90-Data!$M90)</f>
        <v>0.33333333333333331</v>
      </c>
      <c r="V90" s="2">
        <f>('1'!$J90-Data!$N90)*'1'!V90</f>
        <v>0.14814814814814817</v>
      </c>
      <c r="W90" s="2">
        <f>('1'!$J90-Data!$N90)*'1'!W90</f>
        <v>7.4074074074074056E-2</v>
      </c>
      <c r="X90" s="2">
        <f>('1'!$J90-Data!$N90)*'1'!X90</f>
        <v>0.20338983050847462</v>
      </c>
      <c r="Y90" s="2">
        <f>('1'!$J90-Data!$N90)*'1'!Y90</f>
        <v>0.16666666666666669</v>
      </c>
      <c r="Z90" s="2">
        <f>('1'!$J90-Data!$N90)</f>
        <v>-0.66666666666666674</v>
      </c>
      <c r="AA90" s="2">
        <f>('1'!$K90-Data!$O90)*'1'!V90</f>
        <v>-7.407407407407407E-2</v>
      </c>
      <c r="AB90" s="2">
        <f>('1'!$K90-Data!$O90)*'1'!W90</f>
        <v>-3.7037037037037021E-2</v>
      </c>
      <c r="AC90" s="2">
        <f>('1'!$K90-Data!$O90)*'1'!X90</f>
        <v>-0.10169491525423729</v>
      </c>
      <c r="AD90" s="2">
        <f>('1'!$K90-Data!$O90)*'1'!Y90</f>
        <v>-8.3333333333333329E-2</v>
      </c>
      <c r="AE90" s="2">
        <f>('1'!$K90-Data!$O90)</f>
        <v>0.33333333333333331</v>
      </c>
    </row>
    <row r="91" spans="2:31" x14ac:dyDescent="0.25">
      <c r="B91" s="2">
        <f ca="1">B$2*Data!$I91+B$3*Data!$J91+B$4*Data!$K91+B$5*Data!$L91+B$6</f>
        <v>5.2739422517653629E-2</v>
      </c>
      <c r="C91" s="2">
        <f ca="1">C$2*Data!$I91+C$3*Data!$J91+C$4*Data!$K91+C$5*Data!$L91+C$6</f>
        <v>0.28696637178989265</v>
      </c>
      <c r="D91" s="2">
        <f ca="1">D$2*Data!$I91+D$3*Data!$J91+D$4*Data!$K91+D$5*Data!$L91+D$6</f>
        <v>0.45775183281109855</v>
      </c>
      <c r="E91" s="2">
        <f ca="1">EXP(B91)</f>
        <v>1.0541549202922258</v>
      </c>
      <c r="F91" s="2">
        <f ca="1">EXP(C91)</f>
        <v>1.3323794071876549</v>
      </c>
      <c r="G91" s="2">
        <f ca="1">EXP(D91)</f>
        <v>1.5805167219958789</v>
      </c>
      <c r="H91" s="2">
        <f ca="1">SUM(E91:G91)</f>
        <v>3.9670510494757596</v>
      </c>
      <c r="I91" s="2">
        <f ca="1">E91/'1'!$H91</f>
        <v>0.26936388660713334</v>
      </c>
      <c r="J91" s="2">
        <f ca="1">F91/H91</f>
        <v>0.33586142214220488</v>
      </c>
      <c r="K91" s="2">
        <f ca="1">G91/H91</f>
        <v>0.39841098646934275</v>
      </c>
      <c r="L91" s="2">
        <f ca="1">-Data!$M91*LOG(I91)</f>
        <v>0</v>
      </c>
      <c r="M91" s="2">
        <f ca="1">-Data!$N91*LOG(J91)</f>
        <v>0.47383987741150163</v>
      </c>
      <c r="N91" s="2">
        <f ca="1">-Data!$O91*LOG(K91)</f>
        <v>0</v>
      </c>
      <c r="O91" s="2">
        <f ca="1">SUM(L91:N91)</f>
        <v>0.47383987741150163</v>
      </c>
      <c r="P91" s="2"/>
      <c r="Q91" s="2">
        <f ca="1">(I91-'1'!Z91)*'1'!V91</f>
        <v>-0.2600084870205</v>
      </c>
      <c r="R91" s="2">
        <f>('1'!$I91-Data!$M91)*'1'!W91</f>
        <v>-6.4814814814814825E-2</v>
      </c>
      <c r="S91" s="2">
        <f>('1'!$I91-Data!$M91)*'1'!X91</f>
        <v>-0.10922787193973635</v>
      </c>
      <c r="T91" s="2">
        <f>('1'!$I91-Data!$M91)*'1'!Y91</f>
        <v>-0.10185185185185186</v>
      </c>
      <c r="U91" s="2">
        <f>('1'!$I91-Data!$M91)</f>
        <v>0.33333333333333331</v>
      </c>
      <c r="V91" s="2">
        <f>('1'!$J91-Data!$N91)*'1'!V91</f>
        <v>0.1851851851851852</v>
      </c>
      <c r="W91" s="2">
        <f>('1'!$J91-Data!$N91)*'1'!W91</f>
        <v>0.12962962962962968</v>
      </c>
      <c r="X91" s="2">
        <f>('1'!$J91-Data!$N91)*'1'!X91</f>
        <v>0.21845574387947275</v>
      </c>
      <c r="Y91" s="2">
        <f>('1'!$J91-Data!$N91)*'1'!Y91</f>
        <v>0.20370370370370375</v>
      </c>
      <c r="Z91" s="2">
        <f>('1'!$J91-Data!$N91)</f>
        <v>-0.66666666666666674</v>
      </c>
      <c r="AA91" s="2">
        <f>('1'!$K91-Data!$O91)*'1'!V91</f>
        <v>-9.2592592592592587E-2</v>
      </c>
      <c r="AB91" s="2">
        <f>('1'!$K91-Data!$O91)*'1'!W91</f>
        <v>-6.4814814814814825E-2</v>
      </c>
      <c r="AC91" s="2">
        <f>('1'!$K91-Data!$O91)*'1'!X91</f>
        <v>-0.10922787193973635</v>
      </c>
      <c r="AD91" s="2">
        <f>('1'!$K91-Data!$O91)*'1'!Y91</f>
        <v>-0.10185185185185186</v>
      </c>
      <c r="AE91" s="2">
        <f>('1'!$K91-Data!$O91)</f>
        <v>0.33333333333333331</v>
      </c>
    </row>
    <row r="92" spans="2:31" x14ac:dyDescent="0.25">
      <c r="B92" s="2">
        <f ca="1">B$2*Data!$I92+B$3*Data!$J92+B$4*Data!$K92+B$5*Data!$L92+B$6</f>
        <v>1.6139721376952104E-2</v>
      </c>
      <c r="C92" s="2">
        <f ca="1">C$2*Data!$I92+C$3*Data!$J92+C$4*Data!$K92+C$5*Data!$L92+C$6</f>
        <v>0.34330508899428147</v>
      </c>
      <c r="D92" s="2">
        <f ca="1">D$2*Data!$I92+D$3*Data!$J92+D$4*Data!$K92+D$5*Data!$L92+D$6</f>
        <v>0.56569643256662028</v>
      </c>
      <c r="E92" s="2">
        <f ca="1">EXP(B92)</f>
        <v>1.0162706702241064</v>
      </c>
      <c r="F92" s="2">
        <f ca="1">EXP(C92)</f>
        <v>1.4095987493956867</v>
      </c>
      <c r="G92" s="2">
        <f ca="1">EXP(D92)</f>
        <v>1.7606735462382432</v>
      </c>
      <c r="H92" s="2">
        <f ca="1">SUM(E92:G92)</f>
        <v>4.1865429658580364</v>
      </c>
      <c r="I92" s="2">
        <f ca="1">E92/'1'!$H92</f>
        <v>0.24886293856391328</v>
      </c>
      <c r="J92" s="2">
        <f ca="1">F92/H92</f>
        <v>0.33669754756877024</v>
      </c>
      <c r="K92" s="2">
        <f ca="1">G92/H92</f>
        <v>0.42055547037181579</v>
      </c>
      <c r="L92" s="2">
        <f ca="1">-Data!$M92*LOG(I92)</f>
        <v>0</v>
      </c>
      <c r="M92" s="2">
        <f ca="1">-Data!$N92*LOG(J92)</f>
        <v>0.47276004690632545</v>
      </c>
      <c r="N92" s="2">
        <f ca="1">-Data!$O92*LOG(K92)</f>
        <v>0</v>
      </c>
      <c r="O92" s="2">
        <f ca="1">SUM(L92:N92)</f>
        <v>0.47276004690632545</v>
      </c>
      <c r="P92" s="2"/>
      <c r="Q92" s="2">
        <f ca="1">(I92-'1'!Z92)*'1'!V92</f>
        <v>-0.28822228312814546</v>
      </c>
      <c r="R92" s="2">
        <f>('1'!$I92-Data!$M92)*'1'!W92</f>
        <v>-6.4814814814814825E-2</v>
      </c>
      <c r="S92" s="2">
        <f>('1'!$I92-Data!$M92)*'1'!X92</f>
        <v>-0.1544256120527307</v>
      </c>
      <c r="T92" s="2">
        <f>('1'!$I92-Data!$M92)*'1'!Y92</f>
        <v>-0.1388888888888889</v>
      </c>
      <c r="U92" s="2">
        <f>('1'!$I92-Data!$M92)</f>
        <v>0.33333333333333337</v>
      </c>
      <c r="V92" s="2">
        <f>('1'!$J92-Data!$N92)*'1'!V92</f>
        <v>0.2098765432098765</v>
      </c>
      <c r="W92" s="2">
        <f>('1'!$J92-Data!$N92)*'1'!W92</f>
        <v>0.12962962962962962</v>
      </c>
      <c r="X92" s="2">
        <f>('1'!$J92-Data!$N92)*'1'!X92</f>
        <v>0.30885122410546134</v>
      </c>
      <c r="Y92" s="2">
        <f>('1'!$J92-Data!$N92)*'1'!Y92</f>
        <v>0.27777777777777773</v>
      </c>
      <c r="Z92" s="2">
        <f>('1'!$J92-Data!$N92)</f>
        <v>-0.66666666666666663</v>
      </c>
      <c r="AA92" s="2">
        <f>('1'!$K92-Data!$O92)*'1'!V92</f>
        <v>-0.10493827160493827</v>
      </c>
      <c r="AB92" s="2">
        <f>('1'!$K92-Data!$O92)*'1'!W92</f>
        <v>-6.4814814814814825E-2</v>
      </c>
      <c r="AC92" s="2">
        <f>('1'!$K92-Data!$O92)*'1'!X92</f>
        <v>-0.1544256120527307</v>
      </c>
      <c r="AD92" s="2">
        <f>('1'!$K92-Data!$O92)*'1'!Y92</f>
        <v>-0.1388888888888889</v>
      </c>
      <c r="AE92" s="2">
        <f>('1'!$K92-Data!$O92)</f>
        <v>0.33333333333333337</v>
      </c>
    </row>
    <row r="93" spans="2:31" x14ac:dyDescent="0.25">
      <c r="B93" s="2">
        <f ca="1">B$2*Data!$I93+B$3*Data!$J93+B$4*Data!$K93+B$5*Data!$L93+B$6</f>
        <v>5.4561742729195818E-2</v>
      </c>
      <c r="C93" s="2">
        <f ca="1">C$2*Data!$I93+C$3*Data!$J93+C$4*Data!$K93+C$5*Data!$L93+C$6</f>
        <v>0.30983544747027641</v>
      </c>
      <c r="D93" s="2">
        <f ca="1">D$2*Data!$I93+D$3*Data!$J93+D$4*Data!$K93+D$5*Data!$L93+D$6</f>
        <v>0.50523557816211051</v>
      </c>
      <c r="E93" s="2">
        <f ca="1">EXP(B93)</f>
        <v>1.0560776795189717</v>
      </c>
      <c r="F93" s="2">
        <f ca="1">EXP(C93)</f>
        <v>1.3632007775386419</v>
      </c>
      <c r="G93" s="2">
        <f ca="1">EXP(D93)</f>
        <v>1.6573759160469366</v>
      </c>
      <c r="H93" s="2">
        <f ca="1">SUM(E93:G93)</f>
        <v>4.0766543731045495</v>
      </c>
      <c r="I93" s="2">
        <f ca="1">E93/'1'!$H93</f>
        <v>0.26344039661481766</v>
      </c>
      <c r="J93" s="2">
        <f ca="1">F93/H93</f>
        <v>0.33439204131021422</v>
      </c>
      <c r="K93" s="2">
        <f ca="1">G93/H93</f>
        <v>0.4065529633763808</v>
      </c>
      <c r="L93" s="2">
        <f ca="1">-Data!$M93*LOG(I93)</f>
        <v>0</v>
      </c>
      <c r="M93" s="2">
        <f ca="1">-Data!$N93*LOG(J93)</f>
        <v>0.4757440675254524</v>
      </c>
      <c r="N93" s="2">
        <f ca="1">-Data!$O93*LOG(K93)</f>
        <v>0</v>
      </c>
      <c r="O93" s="2">
        <f ca="1">SUM(L93:N93)</f>
        <v>0.4757440675254524</v>
      </c>
      <c r="P93" s="2"/>
      <c r="Q93" s="2">
        <f ca="1">(I93-'1'!Z93)*'1'!V93</f>
        <v>-0.18946625363141356</v>
      </c>
      <c r="R93" s="2">
        <f>('1'!$I93-Data!$M93)*'1'!W93</f>
        <v>-9.2592592592592587E-2</v>
      </c>
      <c r="S93" s="2">
        <f>('1'!$I93-Data!$M93)*'1'!X93</f>
        <v>-0.13182674199623351</v>
      </c>
      <c r="T93" s="2">
        <f>('1'!$I93-Data!$M93)*'1'!Y93</f>
        <v>-0.12962962962962965</v>
      </c>
      <c r="U93" s="2">
        <f>('1'!$I93-Data!$M93)</f>
        <v>0.33333333333333331</v>
      </c>
      <c r="V93" s="2">
        <f>('1'!$J93-Data!$N93)*'1'!V93</f>
        <v>0.13580246913580254</v>
      </c>
      <c r="W93" s="2">
        <f>('1'!$J93-Data!$N93)*'1'!W93</f>
        <v>0.1851851851851852</v>
      </c>
      <c r="X93" s="2">
        <f>('1'!$J93-Data!$N93)*'1'!X93</f>
        <v>0.26365348399246707</v>
      </c>
      <c r="Y93" s="2">
        <f>('1'!$J93-Data!$N93)*'1'!Y93</f>
        <v>0.25925925925925936</v>
      </c>
      <c r="Z93" s="2">
        <f>('1'!$J93-Data!$N93)</f>
        <v>-0.66666666666666674</v>
      </c>
      <c r="AA93" s="2">
        <f>('1'!$K93-Data!$O93)*'1'!V93</f>
        <v>-6.7901234567901259E-2</v>
      </c>
      <c r="AB93" s="2">
        <f>('1'!$K93-Data!$O93)*'1'!W93</f>
        <v>-9.2592592592592587E-2</v>
      </c>
      <c r="AC93" s="2">
        <f>('1'!$K93-Data!$O93)*'1'!X93</f>
        <v>-0.13182674199623351</v>
      </c>
      <c r="AD93" s="2">
        <f>('1'!$K93-Data!$O93)*'1'!Y93</f>
        <v>-0.12962962962962965</v>
      </c>
      <c r="AE93" s="2">
        <f>('1'!$K93-Data!$O93)</f>
        <v>0.33333333333333331</v>
      </c>
    </row>
    <row r="94" spans="2:31" x14ac:dyDescent="0.25">
      <c r="B94" s="2">
        <f ca="1">B$2*Data!$I94+B$3*Data!$J94+B$4*Data!$K94+B$5*Data!$L94+B$6</f>
        <v>7.7030878531664959E-2</v>
      </c>
      <c r="C94" s="2">
        <f ca="1">C$2*Data!$I94+C$3*Data!$J94+C$4*Data!$K94+C$5*Data!$L94+C$6</f>
        <v>0.34072472216163435</v>
      </c>
      <c r="D94" s="2">
        <f ca="1">D$2*Data!$I94+D$3*Data!$J94+D$4*Data!$K94+D$5*Data!$L94+D$6</f>
        <v>0.56437716766828327</v>
      </c>
      <c r="E94" s="2">
        <f ca="1">EXP(B94)</f>
        <v>1.0800754270209623</v>
      </c>
      <c r="F94" s="2">
        <f ca="1">EXP(C94)</f>
        <v>1.4059661562623964</v>
      </c>
      <c r="G94" s="2">
        <f ca="1">EXP(D94)</f>
        <v>1.7583522829485216</v>
      </c>
      <c r="H94" s="2">
        <f ca="1">SUM(E94:G94)</f>
        <v>4.2443938662318805</v>
      </c>
      <c r="I94" s="2">
        <f ca="1">E94/'1'!$H94</f>
        <v>0.25951027037917102</v>
      </c>
      <c r="J94" s="2">
        <f ca="1">F94/H94</f>
        <v>0.33125251816240969</v>
      </c>
      <c r="K94" s="2">
        <f ca="1">G94/H94</f>
        <v>0.41427641693148631</v>
      </c>
      <c r="L94" s="2">
        <f ca="1">-Data!$M94*LOG(I94)</f>
        <v>0</v>
      </c>
      <c r="M94" s="2">
        <f ca="1">-Data!$N94*LOG(J94)</f>
        <v>0.47984081156115166</v>
      </c>
      <c r="N94" s="2">
        <f ca="1">-Data!$O94*LOG(K94)</f>
        <v>0</v>
      </c>
      <c r="O94" s="2">
        <f ca="1">SUM(L94:N94)</f>
        <v>0.47984081156115166</v>
      </c>
      <c r="P94" s="2"/>
      <c r="Q94" s="2">
        <f ca="1">(I94-'1'!Z94)*'1'!V94</f>
        <v>-0.29157422092183782</v>
      </c>
      <c r="R94" s="2">
        <f>('1'!$I94-Data!$M94)*'1'!W94</f>
        <v>-0.12962962962962962</v>
      </c>
      <c r="S94" s="2">
        <f>('1'!$I94-Data!$M94)*'1'!X94</f>
        <v>-0.13182674199623351</v>
      </c>
      <c r="T94" s="2">
        <f>('1'!$I94-Data!$M94)*'1'!Y94</f>
        <v>-0.1388888888888889</v>
      </c>
      <c r="U94" s="2">
        <f>('1'!$I94-Data!$M94)</f>
        <v>0.33333333333333331</v>
      </c>
      <c r="V94" s="2">
        <f>('1'!$J94-Data!$N94)*'1'!V94</f>
        <v>0.20987654320987659</v>
      </c>
      <c r="W94" s="2">
        <f>('1'!$J94-Data!$N94)*'1'!W94</f>
        <v>0.2592592592592593</v>
      </c>
      <c r="X94" s="2">
        <f>('1'!$J94-Data!$N94)*'1'!X94</f>
        <v>0.26365348399246707</v>
      </c>
      <c r="Y94" s="2">
        <f>('1'!$J94-Data!$N94)*'1'!Y94</f>
        <v>0.27777777777777785</v>
      </c>
      <c r="Z94" s="2">
        <f>('1'!$J94-Data!$N94)</f>
        <v>-0.66666666666666674</v>
      </c>
      <c r="AA94" s="2">
        <f>('1'!$K94-Data!$O94)*'1'!V94</f>
        <v>-0.10493827160493827</v>
      </c>
      <c r="AB94" s="2">
        <f>('1'!$K94-Data!$O94)*'1'!W94</f>
        <v>-0.12962962962962962</v>
      </c>
      <c r="AC94" s="2">
        <f>('1'!$K94-Data!$O94)*'1'!X94</f>
        <v>-0.13182674199623351</v>
      </c>
      <c r="AD94" s="2">
        <f>('1'!$K94-Data!$O94)*'1'!Y94</f>
        <v>-0.1388888888888889</v>
      </c>
      <c r="AE94" s="2">
        <f>('1'!$K94-Data!$O94)</f>
        <v>0.33333333333333331</v>
      </c>
    </row>
    <row r="95" spans="2:31" x14ac:dyDescent="0.25">
      <c r="B95" s="2">
        <f ca="1">B$2*Data!$I95+B$3*Data!$J95+B$4*Data!$K95+B$5*Data!$L95+B$6</f>
        <v>5.2801212978036423E-2</v>
      </c>
      <c r="C95" s="2">
        <f ca="1">C$2*Data!$I95+C$3*Data!$J95+C$4*Data!$K95+C$5*Data!$L95+C$6</f>
        <v>0.35712561090008876</v>
      </c>
      <c r="D95" s="2">
        <f ca="1">D$2*Data!$I95+D$3*Data!$J95+D$4*Data!$K95+D$5*Data!$L95+D$6</f>
        <v>0.59070876934221472</v>
      </c>
      <c r="E95" s="2">
        <f ca="1">EXP(B95)</f>
        <v>1.0542200590225208</v>
      </c>
      <c r="F95" s="2">
        <f ca="1">EXP(C95)</f>
        <v>1.4292153836099546</v>
      </c>
      <c r="G95" s="2">
        <f ca="1">EXP(D95)</f>
        <v>1.8052674803078537</v>
      </c>
      <c r="H95" s="2">
        <f ca="1">SUM(E95:G95)</f>
        <v>4.2887029229403293</v>
      </c>
      <c r="I95" s="2">
        <f ca="1">E95/'1'!$H95</f>
        <v>0.25174055299499354</v>
      </c>
      <c r="J95" s="2">
        <f ca="1">F95/H95</f>
        <v>0.33325119722447138</v>
      </c>
      <c r="K95" s="2">
        <f ca="1">G95/H95</f>
        <v>0.42093553989283189</v>
      </c>
      <c r="L95" s="2">
        <f ca="1">-Data!$M95*LOG(I95)</f>
        <v>0</v>
      </c>
      <c r="M95" s="2">
        <f ca="1">-Data!$N95*LOG(J95)</f>
        <v>0.47722828168290271</v>
      </c>
      <c r="N95" s="2">
        <f ca="1">-Data!$O95*LOG(K95)</f>
        <v>0</v>
      </c>
      <c r="O95" s="2">
        <f ca="1">SUM(L95:N95)</f>
        <v>0.47722828168290271</v>
      </c>
      <c r="P95" s="2"/>
      <c r="Q95" s="2">
        <f ca="1">(I95-'1'!Z95)*'1'!V95</f>
        <v>-0.40818098651629336</v>
      </c>
      <c r="R95" s="2">
        <f>('1'!$I95-Data!$M95)*'1'!W95</f>
        <v>-0.10185185185185185</v>
      </c>
      <c r="S95" s="2">
        <f>('1'!$I95-Data!$M95)*'1'!X95</f>
        <v>-0.13935969868173259</v>
      </c>
      <c r="T95" s="2">
        <f>('1'!$I95-Data!$M95)*'1'!Y95</f>
        <v>-0.12962962962962965</v>
      </c>
      <c r="U95" s="2">
        <f>('1'!$I95-Data!$M95)</f>
        <v>0.33333333333333337</v>
      </c>
      <c r="V95" s="2">
        <f>('1'!$J95-Data!$N95)*'1'!V95</f>
        <v>0.29629629629629628</v>
      </c>
      <c r="W95" s="2">
        <f>('1'!$J95-Data!$N95)*'1'!W95</f>
        <v>0.20370370370370366</v>
      </c>
      <c r="X95" s="2">
        <f>('1'!$J95-Data!$N95)*'1'!X95</f>
        <v>0.27871939736346513</v>
      </c>
      <c r="Y95" s="2">
        <f>('1'!$J95-Data!$N95)*'1'!Y95</f>
        <v>0.25925925925925924</v>
      </c>
      <c r="Z95" s="2">
        <f>('1'!$J95-Data!$N95)</f>
        <v>-0.66666666666666663</v>
      </c>
      <c r="AA95" s="2">
        <f>('1'!$K95-Data!$O95)*'1'!V95</f>
        <v>-0.14814814814814817</v>
      </c>
      <c r="AB95" s="2">
        <f>('1'!$K95-Data!$O95)*'1'!W95</f>
        <v>-0.10185185185185185</v>
      </c>
      <c r="AC95" s="2">
        <f>('1'!$K95-Data!$O95)*'1'!X95</f>
        <v>-0.13935969868173259</v>
      </c>
      <c r="AD95" s="2">
        <f>('1'!$K95-Data!$O95)*'1'!Y95</f>
        <v>-0.12962962962962965</v>
      </c>
      <c r="AE95" s="2">
        <f>('1'!$K95-Data!$O95)</f>
        <v>0.33333333333333337</v>
      </c>
    </row>
    <row r="96" spans="2:31" x14ac:dyDescent="0.25">
      <c r="B96" s="2">
        <f ca="1">B$2*Data!$I96+B$3*Data!$J96+B$4*Data!$K96+B$5*Data!$L96+B$6</f>
        <v>9.0447596623887683E-3</v>
      </c>
      <c r="C96" s="2">
        <f ca="1">C$2*Data!$I96+C$3*Data!$J96+C$4*Data!$K96+C$5*Data!$L96+C$6</f>
        <v>0.31318432151668701</v>
      </c>
      <c r="D96" s="2">
        <f ca="1">D$2*Data!$I96+D$3*Data!$J96+D$4*Data!$K96+D$5*Data!$L96+D$6</f>
        <v>0.50481894141979511</v>
      </c>
      <c r="E96" s="2">
        <f ca="1">EXP(B96)</f>
        <v>1.0090857871022199</v>
      </c>
      <c r="F96" s="2">
        <f ca="1">EXP(C96)</f>
        <v>1.3677736179021103</v>
      </c>
      <c r="G96" s="2">
        <f ca="1">EXP(D96)</f>
        <v>1.6566855361732802</v>
      </c>
      <c r="H96" s="2">
        <f ca="1">SUM(E96:G96)</f>
        <v>4.0335449411776105</v>
      </c>
      <c r="I96" s="2">
        <f ca="1">E96/'1'!$H96</f>
        <v>0.25531678691732096</v>
      </c>
      <c r="J96" s="2">
        <f ca="1">F96/H96</f>
        <v>0.33909963514693925</v>
      </c>
      <c r="K96" s="2">
        <f ca="1">G96/H96</f>
        <v>0.41072693135522714</v>
      </c>
      <c r="L96" s="2">
        <f ca="1">-Data!$M96*LOG(I96)</f>
        <v>0</v>
      </c>
      <c r="M96" s="2">
        <f ca="1">-Data!$N96*LOG(J96)</f>
        <v>0.46967267749928387</v>
      </c>
      <c r="N96" s="2">
        <f ca="1">-Data!$O96*LOG(K96)</f>
        <v>0</v>
      </c>
      <c r="O96" s="2">
        <f ca="1">SUM(L96:N96)</f>
        <v>0.46967267749928387</v>
      </c>
      <c r="P96" s="2"/>
      <c r="Q96" s="2">
        <f ca="1">(I96-'1'!Z96)*'1'!V96</f>
        <v>-0.34147535317925459</v>
      </c>
      <c r="R96" s="2">
        <f>('1'!$I96-Data!$M96)*'1'!W96</f>
        <v>-2.7777777777777755E-2</v>
      </c>
      <c r="S96" s="2">
        <f>('1'!$I96-Data!$M96)*'1'!X96</f>
        <v>-0.12806026365348402</v>
      </c>
      <c r="T96" s="2">
        <f>('1'!$I96-Data!$M96)*'1'!Y96</f>
        <v>-0.11111111111111112</v>
      </c>
      <c r="U96" s="2">
        <f>('1'!$I96-Data!$M96)</f>
        <v>0.33333333333333337</v>
      </c>
      <c r="V96" s="2">
        <f>('1'!$J96-Data!$N96)*'1'!V96</f>
        <v>0.24691358024691351</v>
      </c>
      <c r="W96" s="2">
        <f>('1'!$J96-Data!$N96)*'1'!W96</f>
        <v>5.5555555555555504E-2</v>
      </c>
      <c r="X96" s="2">
        <f>('1'!$J96-Data!$N96)*'1'!X96</f>
        <v>0.25612052730696799</v>
      </c>
      <c r="Y96" s="2">
        <f>('1'!$J96-Data!$N96)*'1'!Y96</f>
        <v>0.22222222222222221</v>
      </c>
      <c r="Z96" s="2">
        <f>('1'!$J96-Data!$N96)</f>
        <v>-0.66666666666666663</v>
      </c>
      <c r="AA96" s="2">
        <f>('1'!$K96-Data!$O96)*'1'!V96</f>
        <v>-0.12345679012345678</v>
      </c>
      <c r="AB96" s="2">
        <f>('1'!$K96-Data!$O96)*'1'!W96</f>
        <v>-2.7777777777777755E-2</v>
      </c>
      <c r="AC96" s="2">
        <f>('1'!$K96-Data!$O96)*'1'!X96</f>
        <v>-0.12806026365348402</v>
      </c>
      <c r="AD96" s="2">
        <f>('1'!$K96-Data!$O96)*'1'!Y96</f>
        <v>-0.11111111111111112</v>
      </c>
      <c r="AE96" s="2">
        <f>('1'!$K96-Data!$O96)</f>
        <v>0.33333333333333337</v>
      </c>
    </row>
    <row r="97" spans="2:31" x14ac:dyDescent="0.25">
      <c r="B97" s="2">
        <f ca="1">B$2*Data!$I97+B$3*Data!$J97+B$4*Data!$K97+B$5*Data!$L97+B$6</f>
        <v>6.8301423630691679E-2</v>
      </c>
      <c r="C97" s="2">
        <f ca="1">C$2*Data!$I97+C$3*Data!$J97+C$4*Data!$K97+C$5*Data!$L97+C$6</f>
        <v>0.29590198275056923</v>
      </c>
      <c r="D97" s="2">
        <f ca="1">D$2*Data!$I97+D$3*Data!$J97+D$4*Data!$K97+D$5*Data!$L97+D$6</f>
        <v>0.47675704559614096</v>
      </c>
      <c r="E97" s="2">
        <f ca="1">EXP(B97)</f>
        <v>1.0706879905057733</v>
      </c>
      <c r="F97" s="2">
        <f ca="1">EXP(C97)</f>
        <v>1.3443383820235459</v>
      </c>
      <c r="G97" s="2">
        <f ca="1">EXP(D97)</f>
        <v>1.6108420353425232</v>
      </c>
      <c r="H97" s="2">
        <f ca="1">SUM(E97:G97)</f>
        <v>4.025868407871843</v>
      </c>
      <c r="I97" s="2">
        <f ca="1">E97/'1'!$H97</f>
        <v>0.26964984940115055</v>
      </c>
      <c r="J97" s="2">
        <f ca="1">F97/H97</f>
        <v>0.33392506804120575</v>
      </c>
      <c r="K97" s="2">
        <f ca="1">G97/H97</f>
        <v>0.4001228734135519</v>
      </c>
      <c r="L97" s="2">
        <f ca="1">-Data!$M97*LOG(I97)</f>
        <v>0</v>
      </c>
      <c r="M97" s="2">
        <f ca="1">-Data!$N97*LOG(J97)</f>
        <v>0.47635097686263239</v>
      </c>
      <c r="N97" s="2">
        <f ca="1">-Data!$O97*LOG(K97)</f>
        <v>0</v>
      </c>
      <c r="O97" s="2">
        <f ca="1">SUM(L97:N97)</f>
        <v>0.47635097686263239</v>
      </c>
      <c r="P97" s="2"/>
      <c r="Q97" s="2">
        <f ca="1">(I97-'1'!Z97)*'1'!V97</f>
        <v>-0.22540953164595598</v>
      </c>
      <c r="R97" s="2">
        <f>('1'!$I97-Data!$M97)*'1'!W97</f>
        <v>-9.2592592592592587E-2</v>
      </c>
      <c r="S97" s="2">
        <f>('1'!$I97-Data!$M97)*'1'!X97</f>
        <v>-0.1167608286252354</v>
      </c>
      <c r="T97" s="2">
        <f>('1'!$I97-Data!$M97)*'1'!Y97</f>
        <v>-0.11111111111111112</v>
      </c>
      <c r="U97" s="2">
        <f>('1'!$I97-Data!$M97)</f>
        <v>0.33333333333333331</v>
      </c>
      <c r="V97" s="2">
        <f>('1'!$J97-Data!$N97)*'1'!V97</f>
        <v>0.16049382716049382</v>
      </c>
      <c r="W97" s="2">
        <f>('1'!$J97-Data!$N97)*'1'!W97</f>
        <v>0.1851851851851852</v>
      </c>
      <c r="X97" s="2">
        <f>('1'!$J97-Data!$N97)*'1'!X97</f>
        <v>0.23352165725047083</v>
      </c>
      <c r="Y97" s="2">
        <f>('1'!$J97-Data!$N97)*'1'!Y97</f>
        <v>0.22222222222222227</v>
      </c>
      <c r="Z97" s="2">
        <f>('1'!$J97-Data!$N97)</f>
        <v>-0.66666666666666674</v>
      </c>
      <c r="AA97" s="2">
        <f>('1'!$K97-Data!$O97)*'1'!V97</f>
        <v>-8.0246913580246895E-2</v>
      </c>
      <c r="AB97" s="2">
        <f>('1'!$K97-Data!$O97)*'1'!W97</f>
        <v>-9.2592592592592587E-2</v>
      </c>
      <c r="AC97" s="2">
        <f>('1'!$K97-Data!$O97)*'1'!X97</f>
        <v>-0.1167608286252354</v>
      </c>
      <c r="AD97" s="2">
        <f>('1'!$K97-Data!$O97)*'1'!Y97</f>
        <v>-0.11111111111111112</v>
      </c>
      <c r="AE97" s="2">
        <f>('1'!$K97-Data!$O97)</f>
        <v>0.33333333333333331</v>
      </c>
    </row>
    <row r="98" spans="2:31" x14ac:dyDescent="0.25">
      <c r="B98" s="2">
        <f ca="1">B$2*Data!$I98+B$3*Data!$J98+B$4*Data!$K98+B$5*Data!$L98+B$6</f>
        <v>3.3723226572115045E-2</v>
      </c>
      <c r="C98" s="2">
        <f ca="1">C$2*Data!$I98+C$3*Data!$J98+C$4*Data!$K98+C$5*Data!$L98+C$6</f>
        <v>0.28184473539780297</v>
      </c>
      <c r="D98" s="2">
        <f ca="1">D$2*Data!$I98+D$3*Data!$J98+D$4*Data!$K98+D$5*Data!$L98+D$6</f>
        <v>0.44947441091143869</v>
      </c>
      <c r="E98" s="2">
        <f ca="1">EXP(B98)</f>
        <v>1.0342983008228379</v>
      </c>
      <c r="F98" s="2">
        <f ca="1">EXP(C98)</f>
        <v>1.3255728894607428</v>
      </c>
      <c r="G98" s="2">
        <f ca="1">EXP(D98)</f>
        <v>1.5674881142984012</v>
      </c>
      <c r="H98" s="2">
        <f ca="1">SUM(E98:G98)</f>
        <v>3.9273593045819819</v>
      </c>
      <c r="I98" s="2">
        <f ca="1">E98/'1'!$H98</f>
        <v>0.26716116555080421</v>
      </c>
      <c r="J98" s="2">
        <f ca="1">F98/H98</f>
        <v>0.33752269315267891</v>
      </c>
      <c r="K98" s="2">
        <f ca="1">G98/H98</f>
        <v>0.39912011933047226</v>
      </c>
      <c r="L98" s="2">
        <f ca="1">-Data!$M98*LOG(I98)</f>
        <v>0</v>
      </c>
      <c r="M98" s="2">
        <f ca="1">-Data!$N98*LOG(J98)</f>
        <v>0.47169702230062122</v>
      </c>
      <c r="N98" s="2">
        <f ca="1">-Data!$O98*LOG(K98)</f>
        <v>0</v>
      </c>
      <c r="O98" s="2">
        <f ca="1">SUM(L98:N98)</f>
        <v>0.47169702230062122</v>
      </c>
      <c r="P98" s="2"/>
      <c r="Q98" s="2">
        <f ca="1">(I98-'1'!Z98)*'1'!V98</f>
        <v>-0.20751729604832689</v>
      </c>
      <c r="R98" s="2">
        <f>('1'!$I98-Data!$M98)*'1'!W98</f>
        <v>-4.6296296296296294E-2</v>
      </c>
      <c r="S98" s="2">
        <f>('1'!$I98-Data!$M98)*'1'!X98</f>
        <v>-0.11299435028248589</v>
      </c>
      <c r="T98" s="2">
        <f>('1'!$I98-Data!$M98)*'1'!Y98</f>
        <v>-0.11111111111111112</v>
      </c>
      <c r="U98" s="2">
        <f>('1'!$I98-Data!$M98)</f>
        <v>0.33333333333333331</v>
      </c>
      <c r="V98" s="2">
        <f>('1'!$J98-Data!$N98)*'1'!V98</f>
        <v>0.14814814814814817</v>
      </c>
      <c r="W98" s="2">
        <f>('1'!$J98-Data!$N98)*'1'!W98</f>
        <v>9.2592592592592601E-2</v>
      </c>
      <c r="X98" s="2">
        <f>('1'!$J98-Data!$N98)*'1'!X98</f>
        <v>0.22598870056497181</v>
      </c>
      <c r="Y98" s="2">
        <f>('1'!$J98-Data!$N98)*'1'!Y98</f>
        <v>0.22222222222222227</v>
      </c>
      <c r="Z98" s="2">
        <f>('1'!$J98-Data!$N98)</f>
        <v>-0.66666666666666674</v>
      </c>
      <c r="AA98" s="2">
        <f>('1'!$K98-Data!$O98)*'1'!V98</f>
        <v>-7.407407407407407E-2</v>
      </c>
      <c r="AB98" s="2">
        <f>('1'!$K98-Data!$O98)*'1'!W98</f>
        <v>-4.6296296296296294E-2</v>
      </c>
      <c r="AC98" s="2">
        <f>('1'!$K98-Data!$O98)*'1'!X98</f>
        <v>-0.11299435028248589</v>
      </c>
      <c r="AD98" s="2">
        <f>('1'!$K98-Data!$O98)*'1'!Y98</f>
        <v>-0.11111111111111112</v>
      </c>
      <c r="AE98" s="2">
        <f>('1'!$K98-Data!$O98)</f>
        <v>0.33333333333333331</v>
      </c>
    </row>
    <row r="99" spans="2:31" x14ac:dyDescent="0.25">
      <c r="B99" s="2">
        <f ca="1">B$2*Data!$I99+B$3*Data!$J99+B$4*Data!$K99+B$5*Data!$L99+B$6</f>
        <v>3.8765695876380526E-2</v>
      </c>
      <c r="C99" s="2">
        <f ca="1">C$2*Data!$I99+C$3*Data!$J99+C$4*Data!$K99+C$5*Data!$L99+C$6</f>
        <v>0.28793419291586397</v>
      </c>
      <c r="D99" s="2">
        <f ca="1">D$2*Data!$I99+D$3*Data!$J99+D$4*Data!$K99+D$5*Data!$L99+D$6</f>
        <v>0.45868146713995972</v>
      </c>
      <c r="E99" s="2">
        <f ca="1">EXP(B99)</f>
        <v>1.0395268896768715</v>
      </c>
      <c r="F99" s="2">
        <f ca="1">EXP(C99)</f>
        <v>1.3336695363321578</v>
      </c>
      <c r="G99" s="2">
        <f ca="1">EXP(D99)</f>
        <v>1.5819867077667373</v>
      </c>
      <c r="H99" s="2">
        <f ca="1">SUM(E99:G99)</f>
        <v>3.9551831337757664</v>
      </c>
      <c r="I99" s="2">
        <f ca="1">E99/'1'!$H99</f>
        <v>0.26669745827888935</v>
      </c>
      <c r="J99" s="2">
        <f ca="1">F99/H99</f>
        <v>0.33719539430251028</v>
      </c>
      <c r="K99" s="2">
        <f ca="1">G99/H99</f>
        <v>0.39997811839789915</v>
      </c>
      <c r="L99" s="2">
        <f ca="1">-Data!$M99*LOG(I99)</f>
        <v>0</v>
      </c>
      <c r="M99" s="2">
        <f ca="1">-Data!$N99*LOG(J99)</f>
        <v>0.47211836596504569</v>
      </c>
      <c r="N99" s="2">
        <f ca="1">-Data!$O99*LOG(K99)</f>
        <v>0</v>
      </c>
      <c r="O99" s="2">
        <f ca="1">SUM(L99:N99)</f>
        <v>0.47211836596504569</v>
      </c>
      <c r="P99" s="2"/>
      <c r="Q99" s="2">
        <f ca="1">(I99-'1'!Z99)*'1'!V99</f>
        <v>-0.20741424998790137</v>
      </c>
      <c r="R99" s="2">
        <f>('1'!$I99-Data!$M99)*'1'!W99</f>
        <v>-5.5555555555555559E-2</v>
      </c>
      <c r="S99" s="2">
        <f>('1'!$I99-Data!$M99)*'1'!X99</f>
        <v>-0.128060263653484</v>
      </c>
      <c r="T99" s="2">
        <f>('1'!$I99-Data!$M99)*'1'!Y99</f>
        <v>-0.10185185185185186</v>
      </c>
      <c r="U99" s="2">
        <f>('1'!$I99-Data!$M99)</f>
        <v>0.33333333333333331</v>
      </c>
      <c r="V99" s="2">
        <f>('1'!$J99-Data!$N99)*'1'!V99</f>
        <v>0.14814814814814817</v>
      </c>
      <c r="W99" s="2">
        <f>('1'!$J99-Data!$N99)*'1'!W99</f>
        <v>0.11111111111111113</v>
      </c>
      <c r="X99" s="2">
        <f>('1'!$J99-Data!$N99)*'1'!X99</f>
        <v>0.25612052730696805</v>
      </c>
      <c r="Y99" s="2">
        <f>('1'!$J99-Data!$N99)*'1'!Y99</f>
        <v>0.20370370370370375</v>
      </c>
      <c r="Z99" s="2">
        <f>('1'!$J99-Data!$N99)</f>
        <v>-0.66666666666666674</v>
      </c>
      <c r="AA99" s="2">
        <f>('1'!$K99-Data!$O99)*'1'!V99</f>
        <v>-7.407407407407407E-2</v>
      </c>
      <c r="AB99" s="2">
        <f>('1'!$K99-Data!$O99)*'1'!W99</f>
        <v>-5.5555555555555559E-2</v>
      </c>
      <c r="AC99" s="2">
        <f>('1'!$K99-Data!$O99)*'1'!X99</f>
        <v>-0.128060263653484</v>
      </c>
      <c r="AD99" s="2">
        <f>('1'!$K99-Data!$O99)*'1'!Y99</f>
        <v>-0.10185185185185186</v>
      </c>
      <c r="AE99" s="2">
        <f>('1'!$K99-Data!$O99)</f>
        <v>0.33333333333333331</v>
      </c>
    </row>
    <row r="100" spans="2:31" x14ac:dyDescent="0.25">
      <c r="B100" s="2">
        <f ca="1">B$2*Data!$I100+B$3*Data!$J100+B$4*Data!$K100+B$5*Data!$L100+B$6</f>
        <v>5.3912316330982396E-2</v>
      </c>
      <c r="C100" s="2">
        <f ca="1">C$2*Data!$I100+C$3*Data!$J100+C$4*Data!$K100+C$5*Data!$L100+C$6</f>
        <v>0.32892548803291921</v>
      </c>
      <c r="D100" s="2">
        <f ca="1">D$2*Data!$I100+D$3*Data!$J100+D$4*Data!$K100+D$5*Data!$L100+D$6</f>
        <v>0.53771304309372636</v>
      </c>
      <c r="E100" s="2">
        <f ca="1">EXP(B100)</f>
        <v>1.0553920574499605</v>
      </c>
      <c r="F100" s="2">
        <f ca="1">EXP(C100)</f>
        <v>1.3894743192655743</v>
      </c>
      <c r="G100" s="2">
        <f ca="1">EXP(D100)</f>
        <v>1.712086912526644</v>
      </c>
      <c r="H100" s="2">
        <f ca="1">SUM(E100:G100)</f>
        <v>4.1569532892421783</v>
      </c>
      <c r="I100" s="2">
        <f ca="1">E100/'1'!$H100</f>
        <v>0.25883868353536038</v>
      </c>
      <c r="J100" s="2">
        <f ca="1">F100/H100</f>
        <v>0.33425305087295759</v>
      </c>
      <c r="K100" s="2">
        <f ca="1">G100/H100</f>
        <v>0.41186099371320123</v>
      </c>
      <c r="L100" s="2">
        <f ca="1">-Data!$M100*LOG(I100)</f>
        <v>0</v>
      </c>
      <c r="M100" s="2">
        <f ca="1">-Data!$N100*LOG(J100)</f>
        <v>0.47592462005328207</v>
      </c>
      <c r="N100" s="2">
        <f ca="1">-Data!$O100*LOG(K100)</f>
        <v>0</v>
      </c>
      <c r="O100" s="2">
        <f ca="1">SUM(L100:N100)</f>
        <v>0.47592462005328207</v>
      </c>
      <c r="P100" s="2"/>
      <c r="Q100" s="2">
        <f ca="1">(I100-'1'!Z100)*'1'!V100</f>
        <v>-0.30850178340067558</v>
      </c>
      <c r="R100" s="2">
        <f>('1'!$I100-Data!$M100)*'1'!W100</f>
        <v>-9.2592592592592587E-2</v>
      </c>
      <c r="S100" s="2">
        <f>('1'!$I100-Data!$M100)*'1'!X100</f>
        <v>-0.13559322033898305</v>
      </c>
      <c r="T100" s="2">
        <f>('1'!$I100-Data!$M100)*'1'!Y100</f>
        <v>-0.12037037037037036</v>
      </c>
      <c r="U100" s="2">
        <f>('1'!$I100-Data!$M100)</f>
        <v>0.33333333333333337</v>
      </c>
      <c r="V100" s="2">
        <f>('1'!$J100-Data!$N100)*'1'!V100</f>
        <v>0.22222222222222215</v>
      </c>
      <c r="W100" s="2">
        <f>('1'!$J100-Data!$N100)*'1'!W100</f>
        <v>0.18518518518518515</v>
      </c>
      <c r="X100" s="2">
        <f>('1'!$J100-Data!$N100)*'1'!X100</f>
        <v>0.27118644067796605</v>
      </c>
      <c r="Y100" s="2">
        <f>('1'!$J100-Data!$N100)*'1'!Y100</f>
        <v>0.2407407407407407</v>
      </c>
      <c r="Z100" s="2">
        <f>('1'!$J100-Data!$N100)</f>
        <v>-0.66666666666666663</v>
      </c>
      <c r="AA100" s="2">
        <f>('1'!$K100-Data!$O100)*'1'!V100</f>
        <v>-0.1111111111111111</v>
      </c>
      <c r="AB100" s="2">
        <f>('1'!$K100-Data!$O100)*'1'!W100</f>
        <v>-9.2592592592592587E-2</v>
      </c>
      <c r="AC100" s="2">
        <f>('1'!$K100-Data!$O100)*'1'!X100</f>
        <v>-0.13559322033898305</v>
      </c>
      <c r="AD100" s="2">
        <f>('1'!$K100-Data!$O100)*'1'!Y100</f>
        <v>-0.12037037037037036</v>
      </c>
      <c r="AE100" s="2">
        <f>('1'!$K100-Data!$O100)</f>
        <v>0.33333333333333337</v>
      </c>
    </row>
    <row r="101" spans="2:31" x14ac:dyDescent="0.25">
      <c r="B101" s="2">
        <f ca="1">B$2*Data!$I101+B$3*Data!$J101+B$4*Data!$K101+B$5*Data!$L101+B$6</f>
        <v>4.3811961140016294E-2</v>
      </c>
      <c r="C101" s="2">
        <f ca="1">C$2*Data!$I101+C$3*Data!$J101+C$4*Data!$K101+C$5*Data!$L101+C$6</f>
        <v>0.28767999774348202</v>
      </c>
      <c r="D101" s="2">
        <f ca="1">D$2*Data!$I101+D$3*Data!$J101+D$4*Data!$K101+D$5*Data!$L101+D$6</f>
        <v>0.45855041399785845</v>
      </c>
      <c r="E101" s="2">
        <f ca="1">EXP(B101)</f>
        <v>1.0447858760711328</v>
      </c>
      <c r="F101" s="2">
        <f ca="1">EXP(C101)</f>
        <v>1.333330567058471</v>
      </c>
      <c r="G101" s="2">
        <f ca="1">EXP(D101)</f>
        <v>1.5817793970225809</v>
      </c>
      <c r="H101" s="2">
        <f ca="1">SUM(E101:G101)</f>
        <v>3.9598958401521847</v>
      </c>
      <c r="I101" s="2">
        <f ca="1">E101/'1'!$H101</f>
        <v>0.26763055245128098</v>
      </c>
      <c r="J101" s="2">
        <f ca="1">F101/H101</f>
        <v>0.33670849458687507</v>
      </c>
      <c r="K101" s="2">
        <f ca="1">G101/H101</f>
        <v>0.39944974839585445</v>
      </c>
      <c r="L101" s="2">
        <f ca="1">-Data!$M101*LOG(I101)</f>
        <v>0</v>
      </c>
      <c r="M101" s="2">
        <f ca="1">-Data!$N101*LOG(J101)</f>
        <v>0.47274592695711498</v>
      </c>
      <c r="N101" s="2">
        <f ca="1">-Data!$O101*LOG(K101)</f>
        <v>0</v>
      </c>
      <c r="O101" s="2">
        <f ca="1">SUM(L101:N101)</f>
        <v>0.47274592695711498</v>
      </c>
      <c r="P101" s="2"/>
      <c r="Q101" s="2">
        <f ca="1">(I101-'1'!Z101)*'1'!V101</f>
        <v>-0.25952700531054107</v>
      </c>
      <c r="R101" s="2">
        <f>('1'!$I101-Data!$M101)*'1'!W101</f>
        <v>-5.5555555555555559E-2</v>
      </c>
      <c r="S101" s="2">
        <f>('1'!$I101-Data!$M101)*'1'!X101</f>
        <v>-0.11299435028248589</v>
      </c>
      <c r="T101" s="2">
        <f>('1'!$I101-Data!$M101)*'1'!Y101</f>
        <v>-0.10185185185185186</v>
      </c>
      <c r="U101" s="2">
        <f>('1'!$I101-Data!$M101)</f>
        <v>0.33333333333333331</v>
      </c>
      <c r="V101" s="2">
        <f>('1'!$J101-Data!$N101)*'1'!V101</f>
        <v>0.1851851851851852</v>
      </c>
      <c r="W101" s="2">
        <f>('1'!$J101-Data!$N101)*'1'!W101</f>
        <v>0.11111111111111113</v>
      </c>
      <c r="X101" s="2">
        <f>('1'!$J101-Data!$N101)*'1'!X101</f>
        <v>0.22598870056497181</v>
      </c>
      <c r="Y101" s="2">
        <f>('1'!$J101-Data!$N101)*'1'!Y101</f>
        <v>0.20370370370370375</v>
      </c>
      <c r="Z101" s="2">
        <f>('1'!$J101-Data!$N101)</f>
        <v>-0.66666666666666674</v>
      </c>
      <c r="AA101" s="2">
        <f>('1'!$K101-Data!$O101)*'1'!V101</f>
        <v>-9.2592592592592587E-2</v>
      </c>
      <c r="AB101" s="2">
        <f>('1'!$K101-Data!$O101)*'1'!W101</f>
        <v>-5.5555555555555559E-2</v>
      </c>
      <c r="AC101" s="2">
        <f>('1'!$K101-Data!$O101)*'1'!X101</f>
        <v>-0.11299435028248589</v>
      </c>
      <c r="AD101" s="2">
        <f>('1'!$K101-Data!$O101)*'1'!Y101</f>
        <v>-0.10185185185185186</v>
      </c>
      <c r="AE101" s="2">
        <f>('1'!$K101-Data!$O101)</f>
        <v>0.33333333333333331</v>
      </c>
    </row>
    <row r="102" spans="2:31" x14ac:dyDescent="0.25">
      <c r="B102" s="2">
        <f ca="1">B$2*Data!$I102+B$3*Data!$J102+B$4*Data!$K102+B$5*Data!$L102+B$6</f>
        <v>4.49024418122842E-2</v>
      </c>
      <c r="C102" s="2">
        <f ca="1">C$2*Data!$I102+C$3*Data!$J102+C$4*Data!$K102+C$5*Data!$L102+C$6</f>
        <v>0.2300444411712374</v>
      </c>
      <c r="D102" s="2">
        <f ca="1">D$2*Data!$I102+D$3*Data!$J102+D$4*Data!$K102+D$5*Data!$L102+D$6</f>
        <v>0.35033560289218546</v>
      </c>
      <c r="E102" s="2">
        <f ca="1">EXP(B102)</f>
        <v>1.0459258163040794</v>
      </c>
      <c r="F102" s="2">
        <f ca="1">EXP(C102)</f>
        <v>1.2586559448309356</v>
      </c>
      <c r="G102" s="2">
        <f ca="1">EXP(D102)</f>
        <v>1.4195438716900055</v>
      </c>
      <c r="H102" s="2">
        <f ca="1">SUM(E102:G102)</f>
        <v>3.7241256328250207</v>
      </c>
      <c r="I102" s="2">
        <f ca="1">E102/'1'!$H102</f>
        <v>0.28304840823083594</v>
      </c>
      <c r="J102" s="2">
        <f ca="1">F102/H102</f>
        <v>0.33797354571955007</v>
      </c>
      <c r="K102" s="2">
        <f ca="1">G102/H102</f>
        <v>0.381175076151547</v>
      </c>
      <c r="L102" s="2">
        <f ca="1">-Data!$M102*LOG(I102)</f>
        <v>0</v>
      </c>
      <c r="M102" s="2">
        <f ca="1">-Data!$N102*LOG(J102)</f>
        <v>0.47111729202308172</v>
      </c>
      <c r="N102" s="2">
        <f ca="1">-Data!$O102*LOG(K102)</f>
        <v>0</v>
      </c>
      <c r="O102" s="2">
        <f ca="1">SUM(L102:N102)</f>
        <v>0.47111729202308172</v>
      </c>
      <c r="P102" s="2"/>
      <c r="Q102" s="2">
        <f ca="1">(I102-'1'!Z102)*'1'!V102</f>
        <v>-0.12311121341263929</v>
      </c>
      <c r="R102" s="2">
        <f>('1'!$I102-Data!$M102)*'1'!W102</f>
        <v>-2.7777777777777755E-2</v>
      </c>
      <c r="S102" s="2">
        <f>('1'!$I102-Data!$M102)*'1'!X102</f>
        <v>-8.662900188323916E-2</v>
      </c>
      <c r="T102" s="2">
        <f>('1'!$I102-Data!$M102)*'1'!Y102</f>
        <v>-8.3333333333333329E-2</v>
      </c>
      <c r="U102" s="2">
        <f>('1'!$I102-Data!$M102)</f>
        <v>0.33333333333333331</v>
      </c>
      <c r="V102" s="2">
        <f>('1'!$J102-Data!$N102)*'1'!V102</f>
        <v>8.641975308641979E-2</v>
      </c>
      <c r="W102" s="2">
        <f>('1'!$J102-Data!$N102)*'1'!W102</f>
        <v>5.5555555555555525E-2</v>
      </c>
      <c r="X102" s="2">
        <f>('1'!$J102-Data!$N102)*'1'!X102</f>
        <v>0.17325800376647835</v>
      </c>
      <c r="Y102" s="2">
        <f>('1'!$J102-Data!$N102)*'1'!Y102</f>
        <v>0.16666666666666669</v>
      </c>
      <c r="Z102" s="2">
        <f>('1'!$J102-Data!$N102)</f>
        <v>-0.66666666666666674</v>
      </c>
      <c r="AA102" s="2">
        <f>('1'!$K102-Data!$O102)*'1'!V102</f>
        <v>-4.3209876543209888E-2</v>
      </c>
      <c r="AB102" s="2">
        <f>('1'!$K102-Data!$O102)*'1'!W102</f>
        <v>-2.7777777777777755E-2</v>
      </c>
      <c r="AC102" s="2">
        <f>('1'!$K102-Data!$O102)*'1'!X102</f>
        <v>-8.662900188323916E-2</v>
      </c>
      <c r="AD102" s="2">
        <f>('1'!$K102-Data!$O102)*'1'!Y102</f>
        <v>-8.3333333333333329E-2</v>
      </c>
      <c r="AE102" s="2">
        <f>('1'!$K102-Data!$O102)</f>
        <v>0.33333333333333331</v>
      </c>
    </row>
    <row r="103" spans="2:31" x14ac:dyDescent="0.25">
      <c r="B103" s="2">
        <f ca="1">B$2*Data!$I103+B$3*Data!$J103+B$4*Data!$K103+B$5*Data!$L103+B$6</f>
        <v>4.4721184475276593E-2</v>
      </c>
      <c r="C103" s="2">
        <f ca="1">C$2*Data!$I103+C$3*Data!$J103+C$4*Data!$K103+C$5*Data!$L103+C$6</f>
        <v>0.29321283092638079</v>
      </c>
      <c r="D103" s="2">
        <f ca="1">D$2*Data!$I103+D$3*Data!$J103+D$4*Data!$K103+D$5*Data!$L103+D$6</f>
        <v>0.47061118233845645</v>
      </c>
      <c r="E103" s="2">
        <f ca="1">EXP(B103)</f>
        <v>1.0457362517564104</v>
      </c>
      <c r="F103" s="2">
        <f ca="1">EXP(C103)</f>
        <v>1.3407281084737042</v>
      </c>
      <c r="G103" s="2">
        <f ca="1">EXP(D103)</f>
        <v>1.6009723803047737</v>
      </c>
      <c r="H103" s="2">
        <f ca="1">SUM(E103:G103)</f>
        <v>3.9874367405348883</v>
      </c>
      <c r="I103" s="2">
        <f ca="1">E103/'1'!$H103</f>
        <v>0.26622694157921239</v>
      </c>
      <c r="J103" s="2">
        <f ca="1">F103/H103</f>
        <v>0.33623808870604288</v>
      </c>
      <c r="K103" s="2">
        <f ca="1">G103/H103</f>
        <v>0.40150414526451245</v>
      </c>
      <c r="L103" s="2">
        <f ca="1">-Data!$M103*LOG(I103)</f>
        <v>0</v>
      </c>
      <c r="M103" s="2">
        <f ca="1">-Data!$N103*LOG(J103)</f>
        <v>0.47335309167612061</v>
      </c>
      <c r="N103" s="2">
        <f ca="1">-Data!$O103*LOG(K103)</f>
        <v>0</v>
      </c>
      <c r="O103" s="2">
        <f ca="1">SUM(L103:N103)</f>
        <v>0.47335309167612061</v>
      </c>
      <c r="P103" s="2"/>
      <c r="Q103" s="2">
        <f ca="1">(I103-'1'!Z103)*'1'!V103</f>
        <v>-0.22458549828141522</v>
      </c>
      <c r="R103" s="2">
        <f>('1'!$I103-Data!$M103)*'1'!W103</f>
        <v>-6.4814814814814825E-2</v>
      </c>
      <c r="S103" s="2">
        <f>('1'!$I103-Data!$M103)*'1'!X103</f>
        <v>-0.12052730696798494</v>
      </c>
      <c r="T103" s="2">
        <f>('1'!$I103-Data!$M103)*'1'!Y103</f>
        <v>-0.11111111111111112</v>
      </c>
      <c r="U103" s="2">
        <f>('1'!$I103-Data!$M103)</f>
        <v>0.33333333333333337</v>
      </c>
      <c r="V103" s="2">
        <f>('1'!$J103-Data!$N103)*'1'!V103</f>
        <v>0.16049382716049376</v>
      </c>
      <c r="W103" s="2">
        <f>('1'!$J103-Data!$N103)*'1'!W103</f>
        <v>0.12962962962962962</v>
      </c>
      <c r="X103" s="2">
        <f>('1'!$J103-Data!$N103)*'1'!X103</f>
        <v>0.24105461393596986</v>
      </c>
      <c r="Y103" s="2">
        <f>('1'!$J103-Data!$N103)*'1'!Y103</f>
        <v>0.22222222222222221</v>
      </c>
      <c r="Z103" s="2">
        <f>('1'!$J103-Data!$N103)</f>
        <v>-0.66666666666666663</v>
      </c>
      <c r="AA103" s="2">
        <f>('1'!$K103-Data!$O103)*'1'!V103</f>
        <v>-8.0246913580246895E-2</v>
      </c>
      <c r="AB103" s="2">
        <f>('1'!$K103-Data!$O103)*'1'!W103</f>
        <v>-6.4814814814814825E-2</v>
      </c>
      <c r="AC103" s="2">
        <f>('1'!$K103-Data!$O103)*'1'!X103</f>
        <v>-0.12052730696798494</v>
      </c>
      <c r="AD103" s="2">
        <f>('1'!$K103-Data!$O103)*'1'!Y103</f>
        <v>-0.11111111111111112</v>
      </c>
      <c r="AE103" s="2">
        <f>('1'!$K103-Data!$O103)</f>
        <v>0.33333333333333337</v>
      </c>
    </row>
    <row r="104" spans="2:31" x14ac:dyDescent="0.25">
      <c r="B104" s="2">
        <f ca="1">B$2*Data!$I104+B$3*Data!$J104+B$4*Data!$K104+B$5*Data!$L104+B$6</f>
        <v>7.0368046615194274E-2</v>
      </c>
      <c r="C104" s="2">
        <f ca="1">C$2*Data!$I104+C$3*Data!$J104+C$4*Data!$K104+C$5*Data!$L104+C$6</f>
        <v>0.29618029491815034</v>
      </c>
      <c r="D104" s="2">
        <f ca="1">D$2*Data!$I104+D$3*Data!$J104+D$4*Data!$K104+D$5*Data!$L104+D$6</f>
        <v>0.47533018954010253</v>
      </c>
      <c r="E104" s="2">
        <f ca="1">EXP(B104)</f>
        <v>1.0729029869090811</v>
      </c>
      <c r="F104" s="2">
        <f ca="1">EXP(C104)</f>
        <v>1.3447125798220942</v>
      </c>
      <c r="G104" s="2">
        <f ca="1">EXP(D104)</f>
        <v>1.608545234620758</v>
      </c>
      <c r="H104" s="2">
        <f ca="1">SUM(E104:G104)</f>
        <v>4.0261608013519332</v>
      </c>
      <c r="I104" s="2">
        <f ca="1">E104/'1'!$H104</f>
        <v>0.27012501217661111</v>
      </c>
      <c r="J104" s="2">
        <f ca="1">F104/H104</f>
        <v>0.33399375886093696</v>
      </c>
      <c r="K104" s="2">
        <f ca="1">G104/H104</f>
        <v>0.39952334593308575</v>
      </c>
      <c r="L104" s="2">
        <f ca="1">-Data!$M104*LOG(I104)</f>
        <v>0</v>
      </c>
      <c r="M104" s="2">
        <f ca="1">-Data!$N104*LOG(J104)</f>
        <v>0.47626164851053243</v>
      </c>
      <c r="N104" s="2">
        <f ca="1">-Data!$O104*LOG(K104)</f>
        <v>0</v>
      </c>
      <c r="O104" s="2">
        <f ca="1">SUM(L104:N104)</f>
        <v>0.47626164851053243</v>
      </c>
      <c r="P104" s="2"/>
      <c r="Q104" s="2">
        <f ca="1">(I104-'1'!Z104)*'1'!V104</f>
        <v>-0.2428719167371462</v>
      </c>
      <c r="R104" s="2">
        <f>('1'!$I104-Data!$M104)*'1'!W104</f>
        <v>-9.2592592592592587E-2</v>
      </c>
      <c r="S104" s="2">
        <f>('1'!$I104-Data!$M104)*'1'!X104</f>
        <v>-0.12052730696798494</v>
      </c>
      <c r="T104" s="2">
        <f>('1'!$I104-Data!$M104)*'1'!Y104</f>
        <v>-0.10185185185185186</v>
      </c>
      <c r="U104" s="2">
        <f>('1'!$I104-Data!$M104)</f>
        <v>0.33333333333333331</v>
      </c>
      <c r="V104" s="2">
        <f>('1'!$J104-Data!$N104)*'1'!V104</f>
        <v>0.17283950617283958</v>
      </c>
      <c r="W104" s="2">
        <f>('1'!$J104-Data!$N104)*'1'!W104</f>
        <v>0.1851851851851852</v>
      </c>
      <c r="X104" s="2">
        <f>('1'!$J104-Data!$N104)*'1'!X104</f>
        <v>0.24105461393596994</v>
      </c>
      <c r="Y104" s="2">
        <f>('1'!$J104-Data!$N104)*'1'!Y104</f>
        <v>0.20370370370370375</v>
      </c>
      <c r="Z104" s="2">
        <f>('1'!$J104-Data!$N104)</f>
        <v>-0.66666666666666674</v>
      </c>
      <c r="AA104" s="2">
        <f>('1'!$K104-Data!$O104)*'1'!V104</f>
        <v>-8.6419753086419776E-2</v>
      </c>
      <c r="AB104" s="2">
        <f>('1'!$K104-Data!$O104)*'1'!W104</f>
        <v>-9.2592592592592587E-2</v>
      </c>
      <c r="AC104" s="2">
        <f>('1'!$K104-Data!$O104)*'1'!X104</f>
        <v>-0.12052730696798494</v>
      </c>
      <c r="AD104" s="2">
        <f>('1'!$K104-Data!$O104)*'1'!Y104</f>
        <v>-0.10185185185185186</v>
      </c>
      <c r="AE104" s="2">
        <f>('1'!$K104-Data!$O104)</f>
        <v>0.33333333333333331</v>
      </c>
    </row>
    <row r="105" spans="2:31" x14ac:dyDescent="0.25">
      <c r="B105" s="2">
        <f ca="1">B$2*Data!$I105+B$3*Data!$J105+B$4*Data!$K105+B$5*Data!$L105+B$6</f>
        <v>5.8921287355934993E-2</v>
      </c>
      <c r="C105" s="2">
        <f ca="1">C$2*Data!$I105+C$3*Data!$J105+C$4*Data!$K105+C$5*Data!$L105+C$6</f>
        <v>0.29975089677000222</v>
      </c>
      <c r="D105" s="2">
        <f ca="1">D$2*Data!$I105+D$3*Data!$J105+D$4*Data!$K105+D$5*Data!$L105+D$6</f>
        <v>0.48320634694750997</v>
      </c>
      <c r="E105" s="2">
        <f ca="1">EXP(B105)</f>
        <v>1.0606917476022275</v>
      </c>
      <c r="F105" s="2">
        <f ca="1">EXP(C105)</f>
        <v>1.34952259526452</v>
      </c>
      <c r="G105" s="2">
        <f ca="1">EXP(D105)</f>
        <v>1.621264413461313</v>
      </c>
      <c r="H105" s="2">
        <f ca="1">SUM(E105:G105)</f>
        <v>4.0314787563280605</v>
      </c>
      <c r="I105" s="2">
        <f ca="1">E105/'1'!$H105</f>
        <v>0.26705058587087577</v>
      </c>
      <c r="J105" s="2">
        <f ca="1">F105/H105</f>
        <v>0.33474629951757162</v>
      </c>
      <c r="K105" s="2">
        <f ca="1">G105/H105</f>
        <v>0.40215129768859015</v>
      </c>
      <c r="L105" s="2">
        <f ca="1">-Data!$M105*LOG(I105)</f>
        <v>0</v>
      </c>
      <c r="M105" s="2">
        <f ca="1">-Data!$N105*LOG(J105)</f>
        <v>0.47528421523598896</v>
      </c>
      <c r="N105" s="2">
        <f ca="1">-Data!$O105*LOG(K105)</f>
        <v>0</v>
      </c>
      <c r="O105" s="2">
        <f ca="1">SUM(L105:N105)</f>
        <v>0.47528421523598896</v>
      </c>
      <c r="P105" s="2"/>
      <c r="Q105" s="2">
        <f ca="1">(I105-'1'!Z105)*'1'!V105</f>
        <v>-0.2420748432504741</v>
      </c>
      <c r="R105" s="2">
        <f>('1'!$I105-Data!$M105)*'1'!W105</f>
        <v>-8.3333333333333315E-2</v>
      </c>
      <c r="S105" s="2">
        <f>('1'!$I105-Data!$M105)*'1'!X105</f>
        <v>-0.12052730696798494</v>
      </c>
      <c r="T105" s="2">
        <f>('1'!$I105-Data!$M105)*'1'!Y105</f>
        <v>-0.11111111111111112</v>
      </c>
      <c r="U105" s="2">
        <f>('1'!$I105-Data!$M105)</f>
        <v>0.33333333333333331</v>
      </c>
      <c r="V105" s="2">
        <f>('1'!$J105-Data!$N105)*'1'!V105</f>
        <v>0.17283950617283958</v>
      </c>
      <c r="W105" s="2">
        <f>('1'!$J105-Data!$N105)*'1'!W105</f>
        <v>0.16666666666666666</v>
      </c>
      <c r="X105" s="2">
        <f>('1'!$J105-Data!$N105)*'1'!X105</f>
        <v>0.24105461393596994</v>
      </c>
      <c r="Y105" s="2">
        <f>('1'!$J105-Data!$N105)*'1'!Y105</f>
        <v>0.22222222222222227</v>
      </c>
      <c r="Z105" s="2">
        <f>('1'!$J105-Data!$N105)</f>
        <v>-0.66666666666666674</v>
      </c>
      <c r="AA105" s="2">
        <f>('1'!$K105-Data!$O105)*'1'!V105</f>
        <v>-8.6419753086419776E-2</v>
      </c>
      <c r="AB105" s="2">
        <f>('1'!$K105-Data!$O105)*'1'!W105</f>
        <v>-8.3333333333333315E-2</v>
      </c>
      <c r="AC105" s="2">
        <f>('1'!$K105-Data!$O105)*'1'!X105</f>
        <v>-0.12052730696798494</v>
      </c>
      <c r="AD105" s="2">
        <f>('1'!$K105-Data!$O105)*'1'!Y105</f>
        <v>-0.11111111111111112</v>
      </c>
      <c r="AE105" s="2">
        <f>('1'!$K105-Data!$O105)</f>
        <v>0.33333333333333331</v>
      </c>
    </row>
    <row r="106" spans="2:31" x14ac:dyDescent="0.25">
      <c r="B106" s="2">
        <f ca="1">B$2*Data!$I106+B$3*Data!$J106+B$4*Data!$K106+B$5*Data!$L106+B$6</f>
        <v>5.505684038158986E-2</v>
      </c>
      <c r="C106" s="2">
        <f ca="1">C$2*Data!$I106+C$3*Data!$J106+C$4*Data!$K106+C$5*Data!$L106+C$6</f>
        <v>0.31784235194169852</v>
      </c>
      <c r="D106" s="2">
        <f ca="1">D$2*Data!$I106+D$3*Data!$J106+D$4*Data!$K106+D$5*Data!$L106+D$6</f>
        <v>0.51573075117953726</v>
      </c>
      <c r="E106" s="2">
        <f ca="1">EXP(B106)</f>
        <v>1.056600670553981</v>
      </c>
      <c r="F106" s="2">
        <f ca="1">EXP(C106)</f>
        <v>1.3741596105563305</v>
      </c>
      <c r="G106" s="2">
        <f ca="1">EXP(D106)</f>
        <v>1.6748619620749137</v>
      </c>
      <c r="H106" s="2">
        <f ca="1">SUM(E106:G106)</f>
        <v>4.1056222431852252</v>
      </c>
      <c r="I106" s="2">
        <f ca="1">E106/'1'!$H106</f>
        <v>0.26190709706611415</v>
      </c>
      <c r="J106" s="2">
        <f ca="1">F106/H106</f>
        <v>0.3347019109800588</v>
      </c>
      <c r="K106" s="2">
        <f ca="1">G106/H106</f>
        <v>0.40794351327742268</v>
      </c>
      <c r="L106" s="2">
        <f ca="1">-Data!$M106*LOG(I106)</f>
        <v>0</v>
      </c>
      <c r="M106" s="2">
        <f ca="1">-Data!$N106*LOG(J106)</f>
        <v>0.47534180803145104</v>
      </c>
      <c r="N106" s="2">
        <f ca="1">-Data!$O106*LOG(K106)</f>
        <v>0</v>
      </c>
      <c r="O106" s="2">
        <f ca="1">SUM(L106:N106)</f>
        <v>0.47534180803145104</v>
      </c>
      <c r="P106" s="2"/>
      <c r="Q106" s="2">
        <f ca="1">(I106-'1'!Z106)*'1'!V106</f>
        <v>-0.32672039835042288</v>
      </c>
      <c r="R106" s="2">
        <f>('1'!$I106-Data!$M106)*'1'!W106</f>
        <v>-8.3333333333333315E-2</v>
      </c>
      <c r="S106" s="2">
        <f>('1'!$I106-Data!$M106)*'1'!X106</f>
        <v>-0.12429378531073446</v>
      </c>
      <c r="T106" s="2">
        <f>('1'!$I106-Data!$M106)*'1'!Y106</f>
        <v>-0.11111111111111112</v>
      </c>
      <c r="U106" s="2">
        <f>('1'!$I106-Data!$M106)</f>
        <v>0.33333333333333337</v>
      </c>
      <c r="V106" s="2">
        <f>('1'!$J106-Data!$N106)*'1'!V106</f>
        <v>0.23456790123456789</v>
      </c>
      <c r="W106" s="2">
        <f>('1'!$J106-Data!$N106)*'1'!W106</f>
        <v>0.1666666666666666</v>
      </c>
      <c r="X106" s="2">
        <f>('1'!$J106-Data!$N106)*'1'!X106</f>
        <v>0.24858757062146888</v>
      </c>
      <c r="Y106" s="2">
        <f>('1'!$J106-Data!$N106)*'1'!Y106</f>
        <v>0.22222222222222221</v>
      </c>
      <c r="Z106" s="2">
        <f>('1'!$J106-Data!$N106)</f>
        <v>-0.66666666666666663</v>
      </c>
      <c r="AA106" s="2">
        <f>('1'!$K106-Data!$O106)*'1'!V106</f>
        <v>-0.11728395061728397</v>
      </c>
      <c r="AB106" s="2">
        <f>('1'!$K106-Data!$O106)*'1'!W106</f>
        <v>-8.3333333333333315E-2</v>
      </c>
      <c r="AC106" s="2">
        <f>('1'!$K106-Data!$O106)*'1'!X106</f>
        <v>-0.12429378531073446</v>
      </c>
      <c r="AD106" s="2">
        <f>('1'!$K106-Data!$O106)*'1'!Y106</f>
        <v>-0.11111111111111112</v>
      </c>
      <c r="AE106" s="2">
        <f>('1'!$K106-Data!$O106)</f>
        <v>0.33333333333333337</v>
      </c>
    </row>
    <row r="107" spans="2:31" x14ac:dyDescent="0.25">
      <c r="B107" s="2">
        <f ca="1">B$2*Data!$I107+B$3*Data!$J107+B$4*Data!$K107+B$5*Data!$L107+B$6</f>
        <v>5.9785391788817595E-2</v>
      </c>
      <c r="C107" s="2">
        <f ca="1">C$2*Data!$I107+C$3*Data!$J107+C$4*Data!$K107+C$5*Data!$L107+C$6</f>
        <v>0.23460945322816484</v>
      </c>
      <c r="D107" s="2">
        <f ca="1">D$2*Data!$I107+D$3*Data!$J107+D$4*Data!$K107+D$5*Data!$L107+D$6</f>
        <v>0.36146673690392228</v>
      </c>
      <c r="E107" s="2">
        <f ca="1">EXP(B107)</f>
        <v>1.0616086921541237</v>
      </c>
      <c r="F107" s="2">
        <f ca="1">EXP(C107)</f>
        <v>1.2644148591502715</v>
      </c>
      <c r="G107" s="2">
        <f ca="1">EXP(D107)</f>
        <v>1.4354332742352938</v>
      </c>
      <c r="H107" s="2">
        <f ca="1">SUM(E107:G107)</f>
        <v>3.761456825539689</v>
      </c>
      <c r="I107" s="2">
        <f ca="1">E107/'1'!$H107</f>
        <v>0.28437899978828568</v>
      </c>
      <c r="J107" s="2">
        <f ca="1">F107/H107</f>
        <v>0.3361503050002056</v>
      </c>
      <c r="K107" s="2">
        <f ca="1">G107/H107</f>
        <v>0.38161631006607116</v>
      </c>
      <c r="L107" s="2">
        <f ca="1">-Data!$M107*LOG(I107)</f>
        <v>0</v>
      </c>
      <c r="M107" s="2">
        <f ca="1">-Data!$N107*LOG(J107)</f>
        <v>0.47346649035944</v>
      </c>
      <c r="N107" s="2">
        <f ca="1">-Data!$O107*LOG(K107)</f>
        <v>0</v>
      </c>
      <c r="O107" s="2">
        <f ca="1">SUM(L107:N107)</f>
        <v>0.47346649035944</v>
      </c>
      <c r="P107" s="2"/>
      <c r="Q107" s="2">
        <f ca="1">(I107-'1'!Z107)*'1'!V107</f>
        <v>-0.14089565428962256</v>
      </c>
      <c r="R107" s="2">
        <f>('1'!$I107-Data!$M107)*'1'!W107</f>
        <v>-4.6296296296296294E-2</v>
      </c>
      <c r="S107" s="2">
        <f>('1'!$I107-Data!$M107)*'1'!X107</f>
        <v>-7.5329566854990593E-2</v>
      </c>
      <c r="T107" s="2">
        <f>('1'!$I107-Data!$M107)*'1'!Y107</f>
        <v>-9.2592592592592615E-2</v>
      </c>
      <c r="U107" s="2">
        <f>('1'!$I107-Data!$M107)</f>
        <v>0.33333333333333331</v>
      </c>
      <c r="V107" s="2">
        <f>('1'!$J107-Data!$N107)*'1'!V107</f>
        <v>9.8765432098765413E-2</v>
      </c>
      <c r="W107" s="2">
        <f>('1'!$J107-Data!$N107)*'1'!W107</f>
        <v>9.2592592592592601E-2</v>
      </c>
      <c r="X107" s="2">
        <f>('1'!$J107-Data!$N107)*'1'!X107</f>
        <v>0.15065913370998121</v>
      </c>
      <c r="Y107" s="2">
        <f>('1'!$J107-Data!$N107)*'1'!Y107</f>
        <v>0.18518518518518526</v>
      </c>
      <c r="Z107" s="2">
        <f>('1'!$J107-Data!$N107)</f>
        <v>-0.66666666666666674</v>
      </c>
      <c r="AA107" s="2">
        <f>('1'!$K107-Data!$O107)*'1'!V107</f>
        <v>-4.9382716049382699E-2</v>
      </c>
      <c r="AB107" s="2">
        <f>('1'!$K107-Data!$O107)*'1'!W107</f>
        <v>-4.6296296296296294E-2</v>
      </c>
      <c r="AC107" s="2">
        <f>('1'!$K107-Data!$O107)*'1'!X107</f>
        <v>-7.5329566854990593E-2</v>
      </c>
      <c r="AD107" s="2">
        <f>('1'!$K107-Data!$O107)*'1'!Y107</f>
        <v>-9.2592592592592615E-2</v>
      </c>
      <c r="AE107" s="2">
        <f>('1'!$K107-Data!$O107)</f>
        <v>0.33333333333333331</v>
      </c>
    </row>
    <row r="108" spans="2:31" x14ac:dyDescent="0.25">
      <c r="B108" s="2">
        <f ca="1">B$2*Data!$I108+B$3*Data!$J108+B$4*Data!$K108+B$5*Data!$L108+B$6</f>
        <v>5.3195970955794557E-2</v>
      </c>
      <c r="C108" s="2">
        <f ca="1">C$2*Data!$I108+C$3*Data!$J108+C$4*Data!$K108+C$5*Data!$L108+C$6</f>
        <v>0.29563449303863509</v>
      </c>
      <c r="D108" s="2">
        <f ca="1">D$2*Data!$I108+D$3*Data!$J108+D$4*Data!$K108+D$5*Data!$L108+D$6</f>
        <v>0.47546332131630564</v>
      </c>
      <c r="E108" s="2">
        <f ca="1">EXP(B108)</f>
        <v>1.0546363029535333</v>
      </c>
      <c r="F108" s="2">
        <f ca="1">EXP(C108)</f>
        <v>1.3439788334269156</v>
      </c>
      <c r="G108" s="2">
        <f ca="1">EXP(D108)</f>
        <v>1.6087593973605627</v>
      </c>
      <c r="H108" s="2">
        <f ca="1">SUM(E108:G108)</f>
        <v>4.0073745337410109</v>
      </c>
      <c r="I108" s="2">
        <f ca="1">E108/'1'!$H108</f>
        <v>0.26708697813747895</v>
      </c>
      <c r="J108" s="2">
        <f ca="1">F108/H108</f>
        <v>0.33537639721742424</v>
      </c>
      <c r="K108" s="2">
        <f ca="1">G108/H108</f>
        <v>0.40144972320786171</v>
      </c>
      <c r="L108" s="2">
        <f ca="1">-Data!$M108*LOG(I108)</f>
        <v>0</v>
      </c>
      <c r="M108" s="2">
        <f ca="1">-Data!$N108*LOG(J108)</f>
        <v>0.47446750499446344</v>
      </c>
      <c r="N108" s="2">
        <f ca="1">-Data!$O108*LOG(K108)</f>
        <v>0</v>
      </c>
      <c r="O108" s="2">
        <f ca="1">SUM(L108:N108)</f>
        <v>0.47446750499446344</v>
      </c>
      <c r="P108" s="2"/>
      <c r="Q108" s="2">
        <f ca="1">(I108-'1'!Z108)*'1'!V108</f>
        <v>-0.24208427828255638</v>
      </c>
      <c r="R108" s="2">
        <f>('1'!$I108-Data!$M108)*'1'!W108</f>
        <v>-7.4074074074074042E-2</v>
      </c>
      <c r="S108" s="2">
        <f>('1'!$I108-Data!$M108)*'1'!X108</f>
        <v>-0.1167608286252354</v>
      </c>
      <c r="T108" s="2">
        <f>('1'!$I108-Data!$M108)*'1'!Y108</f>
        <v>-0.11111111111111112</v>
      </c>
      <c r="U108" s="2">
        <f>('1'!$I108-Data!$M108)</f>
        <v>0.33333333333333331</v>
      </c>
      <c r="V108" s="2">
        <f>('1'!$J108-Data!$N108)*'1'!V108</f>
        <v>0.17283950617283958</v>
      </c>
      <c r="W108" s="2">
        <f>('1'!$J108-Data!$N108)*'1'!W108</f>
        <v>0.14814814814814811</v>
      </c>
      <c r="X108" s="2">
        <f>('1'!$J108-Data!$N108)*'1'!X108</f>
        <v>0.23352165725047083</v>
      </c>
      <c r="Y108" s="2">
        <f>('1'!$J108-Data!$N108)*'1'!Y108</f>
        <v>0.22222222222222227</v>
      </c>
      <c r="Z108" s="2">
        <f>('1'!$J108-Data!$N108)</f>
        <v>-0.66666666666666674</v>
      </c>
      <c r="AA108" s="2">
        <f>('1'!$K108-Data!$O108)*'1'!V108</f>
        <v>-8.6419753086419776E-2</v>
      </c>
      <c r="AB108" s="2">
        <f>('1'!$K108-Data!$O108)*'1'!W108</f>
        <v>-7.4074074074074042E-2</v>
      </c>
      <c r="AC108" s="2">
        <f>('1'!$K108-Data!$O108)*'1'!X108</f>
        <v>-0.1167608286252354</v>
      </c>
      <c r="AD108" s="2">
        <f>('1'!$K108-Data!$O108)*'1'!Y108</f>
        <v>-0.11111111111111112</v>
      </c>
      <c r="AE108" s="2">
        <f>('1'!$K108-Data!$O108)</f>
        <v>0.33333333333333331</v>
      </c>
    </row>
    <row r="109" spans="2:31" x14ac:dyDescent="0.25">
      <c r="B109" s="2">
        <f ca="1">B$2*Data!$I109+B$3*Data!$J109+B$4*Data!$K109+B$5*Data!$L109+B$6</f>
        <v>7.2470442868579898E-3</v>
      </c>
      <c r="C109" s="2">
        <f ca="1">C$2*Data!$I109+C$3*Data!$J109+C$4*Data!$K109+C$5*Data!$L109+C$6</f>
        <v>0.43210233677411625</v>
      </c>
      <c r="D109" s="2">
        <f ca="1">D$2*Data!$I109+D$3*Data!$J109+D$4*Data!$K109+D$5*Data!$L109+D$6</f>
        <v>0.74405457374128636</v>
      </c>
      <c r="E109" s="2">
        <f ca="1">EXP(B109)</f>
        <v>1.007273367662775</v>
      </c>
      <c r="F109" s="2">
        <f ca="1">EXP(C109)</f>
        <v>1.5404927561539683</v>
      </c>
      <c r="G109" s="2">
        <f ca="1">EXP(D109)</f>
        <v>2.1044508910401767</v>
      </c>
      <c r="H109" s="2">
        <f ca="1">SUM(E109:G109)</f>
        <v>4.6522170148569195</v>
      </c>
      <c r="I109" s="2">
        <f ca="1">E109/'1'!$H109</f>
        <v>0.22631369089140452</v>
      </c>
      <c r="J109" s="2">
        <f ca="1">F109/H109</f>
        <v>0.33113088904373622</v>
      </c>
      <c r="K109" s="2">
        <f ca="1">G109/H109</f>
        <v>0.45235441173951763</v>
      </c>
      <c r="L109" s="2">
        <f ca="1">-Data!$M109*LOG(I109)</f>
        <v>0</v>
      </c>
      <c r="M109" s="2">
        <f ca="1">-Data!$N109*LOG(J109)</f>
        <v>0</v>
      </c>
      <c r="N109" s="2">
        <f ca="1">-Data!$O109*LOG(K109)</f>
        <v>0.34452116972269015</v>
      </c>
      <c r="O109" s="2">
        <f ca="1">SUM(L109:N109)</f>
        <v>0.34452116972269015</v>
      </c>
      <c r="P109" s="2"/>
      <c r="Q109" s="2">
        <f ca="1">(I109-'1'!Z109)*'1'!V109</f>
        <v>-1.9818452304060884E-2</v>
      </c>
      <c r="R109" s="2">
        <f>('1'!$I109-Data!$M109)*'1'!W109</f>
        <v>6.0185185185185161E-2</v>
      </c>
      <c r="S109" s="2">
        <f>('1'!$I109-Data!$M109)*'1'!X109</f>
        <v>9.4161958568738213E-2</v>
      </c>
      <c r="T109" s="2">
        <f>('1'!$I109-Data!$M109)*'1'!Y109</f>
        <v>0.1111111111111111</v>
      </c>
      <c r="U109" s="2">
        <f>('1'!$I109-Data!$M109)</f>
        <v>0.33333333333333331</v>
      </c>
      <c r="V109" s="2">
        <f>('1'!$J109-Data!$N109)*'1'!V109</f>
        <v>6.1728395061728378E-2</v>
      </c>
      <c r="W109" s="2">
        <f>('1'!$J109-Data!$N109)*'1'!W109</f>
        <v>6.0185185185185161E-2</v>
      </c>
      <c r="X109" s="2">
        <f>('1'!$J109-Data!$N109)*'1'!X109</f>
        <v>9.4161958568738213E-2</v>
      </c>
      <c r="Y109" s="2">
        <f>('1'!$J109-Data!$N109)*'1'!Y109</f>
        <v>0.1111111111111111</v>
      </c>
      <c r="Z109" s="2">
        <f>('1'!$J109-Data!$N109)</f>
        <v>0.33333333333333331</v>
      </c>
      <c r="AA109" s="2">
        <f>('1'!$K109-Data!$O109)*'1'!V109</f>
        <v>-0.12345679012345678</v>
      </c>
      <c r="AB109" s="2">
        <f>('1'!$K109-Data!$O109)*'1'!W109</f>
        <v>-0.12037037037037035</v>
      </c>
      <c r="AC109" s="2">
        <f>('1'!$K109-Data!$O109)*'1'!X109</f>
        <v>-0.18832391713747645</v>
      </c>
      <c r="AD109" s="2">
        <f>('1'!$K109-Data!$O109)*'1'!Y109</f>
        <v>-0.22222222222222224</v>
      </c>
      <c r="AE109" s="2">
        <f>('1'!$K109-Data!$O109)</f>
        <v>-0.66666666666666674</v>
      </c>
    </row>
    <row r="110" spans="2:31" x14ac:dyDescent="0.25">
      <c r="B110" s="2">
        <f ca="1">B$2*Data!$I110+B$3*Data!$J110+B$4*Data!$K110+B$5*Data!$L110+B$6</f>
        <v>4.6839600600796782E-3</v>
      </c>
      <c r="C110" s="2">
        <f ca="1">C$2*Data!$I110+C$3*Data!$J110+C$4*Data!$K110+C$5*Data!$L110+C$6</f>
        <v>0.35285048508481642</v>
      </c>
      <c r="D110" s="2">
        <f ca="1">D$2*Data!$I110+D$3*Data!$J110+D$4*Data!$K110+D$5*Data!$L110+D$6</f>
        <v>0.58844013112629112</v>
      </c>
      <c r="E110" s="2">
        <f ca="1">EXP(B110)</f>
        <v>1.0046949469483526</v>
      </c>
      <c r="F110" s="2">
        <f ca="1">EXP(C110)</f>
        <v>1.4231183501066977</v>
      </c>
      <c r="G110" s="2">
        <f ca="1">EXP(D110)</f>
        <v>1.8011766236035316</v>
      </c>
      <c r="H110" s="2">
        <f ca="1">SUM(E110:G110)</f>
        <v>4.2289899206585817</v>
      </c>
      <c r="I110" s="2">
        <f ca="1">E110/'1'!$H110</f>
        <v>0.24432568054188369</v>
      </c>
      <c r="J110" s="2">
        <f ca="1">F110/H110</f>
        <v>0.3365149543522854</v>
      </c>
      <c r="K110" s="2">
        <f ca="1">G110/H110</f>
        <v>0.42591177973841893</v>
      </c>
      <c r="L110" s="2">
        <f ca="1">-Data!$M110*LOG(I110)</f>
        <v>0</v>
      </c>
      <c r="M110" s="2">
        <f ca="1">-Data!$N110*LOG(J110)</f>
        <v>0</v>
      </c>
      <c r="N110" s="2">
        <f ca="1">-Data!$O110*LOG(K110)</f>
        <v>0.37068034817549678</v>
      </c>
      <c r="O110" s="2">
        <f ca="1">SUM(L110:N110)</f>
        <v>0.37068034817549678</v>
      </c>
      <c r="P110" s="2"/>
      <c r="Q110" s="2">
        <f ca="1">(I110-'1'!Z110)*'1'!V110</f>
        <v>-1.2362173998812455E-2</v>
      </c>
      <c r="R110" s="2">
        <f>('1'!$I110-Data!$M110)*'1'!W110</f>
        <v>3.2407407407407419E-2</v>
      </c>
      <c r="S110" s="2">
        <f>('1'!$I110-Data!$M110)*'1'!X110</f>
        <v>7.7212806026365363E-2</v>
      </c>
      <c r="T110" s="2">
        <f>('1'!$I110-Data!$M110)*'1'!Y110</f>
        <v>8.3333333333333343E-2</v>
      </c>
      <c r="U110" s="2">
        <f>('1'!$I110-Data!$M110)</f>
        <v>0.33333333333333337</v>
      </c>
      <c r="V110" s="2">
        <f>('1'!$J110-Data!$N110)*'1'!V110</f>
        <v>4.6296296296296301E-2</v>
      </c>
      <c r="W110" s="2">
        <f>('1'!$J110-Data!$N110)*'1'!W110</f>
        <v>3.2407407407407419E-2</v>
      </c>
      <c r="X110" s="2">
        <f>('1'!$J110-Data!$N110)*'1'!X110</f>
        <v>7.7212806026365363E-2</v>
      </c>
      <c r="Y110" s="2">
        <f>('1'!$J110-Data!$N110)*'1'!Y110</f>
        <v>8.3333333333333343E-2</v>
      </c>
      <c r="Z110" s="2">
        <f>('1'!$J110-Data!$N110)</f>
        <v>0.33333333333333337</v>
      </c>
      <c r="AA110" s="2">
        <f>('1'!$K110-Data!$O110)*'1'!V110</f>
        <v>-9.2592592592592587E-2</v>
      </c>
      <c r="AB110" s="2">
        <f>('1'!$K110-Data!$O110)*'1'!W110</f>
        <v>-6.4814814814814825E-2</v>
      </c>
      <c r="AC110" s="2">
        <f>('1'!$K110-Data!$O110)*'1'!X110</f>
        <v>-0.1544256120527307</v>
      </c>
      <c r="AD110" s="2">
        <f>('1'!$K110-Data!$O110)*'1'!Y110</f>
        <v>-0.16666666666666666</v>
      </c>
      <c r="AE110" s="2">
        <f>('1'!$K110-Data!$O110)</f>
        <v>-0.66666666666666663</v>
      </c>
    </row>
    <row r="111" spans="2:31" x14ac:dyDescent="0.25">
      <c r="B111" s="2">
        <f ca="1">B$2*Data!$I111+B$3*Data!$J111+B$4*Data!$K111+B$5*Data!$L111+B$6</f>
        <v>-2.7096758653341602E-4</v>
      </c>
      <c r="C111" s="2">
        <f ca="1">C$2*Data!$I111+C$3*Data!$J111+C$4*Data!$K111+C$5*Data!$L111+C$6</f>
        <v>0.4285774968287574</v>
      </c>
      <c r="D111" s="2">
        <f ca="1">D$2*Data!$I111+D$3*Data!$J111+D$4*Data!$K111+D$5*Data!$L111+D$6</f>
        <v>0.72917934646399152</v>
      </c>
      <c r="E111" s="2">
        <f ca="1">EXP(B111)</f>
        <v>0.99972906912186743</v>
      </c>
      <c r="F111" s="2">
        <f ca="1">EXP(C111)</f>
        <v>1.5350723244408295</v>
      </c>
      <c r="G111" s="2">
        <f ca="1">EXP(D111)</f>
        <v>2.0733783839994047</v>
      </c>
      <c r="H111" s="2">
        <f ca="1">SUM(E111:G111)</f>
        <v>4.6081797775621016</v>
      </c>
      <c r="I111" s="2">
        <f ca="1">E111/'1'!$H111</f>
        <v>0.22656760959550548</v>
      </c>
      <c r="J111" s="2">
        <f ca="1">F111/H111</f>
        <v>0.33311901847131054</v>
      </c>
      <c r="K111" s="2">
        <f ca="1">G111/H111</f>
        <v>0.44993435240851193</v>
      </c>
      <c r="L111" s="2">
        <f ca="1">-Data!$M111*LOG(I111)</f>
        <v>0</v>
      </c>
      <c r="M111" s="2">
        <f ca="1">-Data!$N111*LOG(J111)</f>
        <v>0</v>
      </c>
      <c r="N111" s="2">
        <f ca="1">-Data!$O111*LOG(K111)</f>
        <v>0.34685084726139809</v>
      </c>
      <c r="O111" s="2">
        <f ca="1">SUM(L111:N111)</f>
        <v>0.34685084726139809</v>
      </c>
      <c r="P111" s="2"/>
      <c r="Q111" s="2">
        <f ca="1">(I111-'1'!Z111)*'1'!V111</f>
        <v>-2.7680002450547948E-2</v>
      </c>
      <c r="R111" s="2">
        <f>('1'!$I111-Data!$M111)*'1'!W111</f>
        <v>4.6296296296296287E-2</v>
      </c>
      <c r="S111" s="2">
        <f>('1'!$I111-Data!$M111)*'1'!X111</f>
        <v>9.2278719397363457E-2</v>
      </c>
      <c r="T111" s="2">
        <f>('1'!$I111-Data!$M111)*'1'!Y111</f>
        <v>9.2592592592592587E-2</v>
      </c>
      <c r="U111" s="2">
        <f>('1'!$I111-Data!$M111)</f>
        <v>0.33333333333333331</v>
      </c>
      <c r="V111" s="2">
        <f>('1'!$J111-Data!$N111)*'1'!V111</f>
        <v>8.6419753086419721E-2</v>
      </c>
      <c r="W111" s="2">
        <f>('1'!$J111-Data!$N111)*'1'!W111</f>
        <v>4.6296296296296287E-2</v>
      </c>
      <c r="X111" s="2">
        <f>('1'!$J111-Data!$N111)*'1'!X111</f>
        <v>9.2278719397363457E-2</v>
      </c>
      <c r="Y111" s="2">
        <f>('1'!$J111-Data!$N111)*'1'!Y111</f>
        <v>9.2592592592592587E-2</v>
      </c>
      <c r="Z111" s="2">
        <f>('1'!$J111-Data!$N111)</f>
        <v>0.33333333333333331</v>
      </c>
      <c r="AA111" s="2">
        <f>('1'!$K111-Data!$O111)*'1'!V111</f>
        <v>-0.17283950617283947</v>
      </c>
      <c r="AB111" s="2">
        <f>('1'!$K111-Data!$O111)*'1'!W111</f>
        <v>-9.2592592592592587E-2</v>
      </c>
      <c r="AC111" s="2">
        <f>('1'!$K111-Data!$O111)*'1'!X111</f>
        <v>-0.18455743879472694</v>
      </c>
      <c r="AD111" s="2">
        <f>('1'!$K111-Data!$O111)*'1'!Y111</f>
        <v>-0.1851851851851852</v>
      </c>
      <c r="AE111" s="2">
        <f>('1'!$K111-Data!$O111)</f>
        <v>-0.66666666666666674</v>
      </c>
    </row>
    <row r="112" spans="2:31" x14ac:dyDescent="0.25">
      <c r="B112" s="2">
        <f ca="1">B$2*Data!$I112+B$3*Data!$J112+B$4*Data!$K112+B$5*Data!$L112+B$6</f>
        <v>1.3188371278888861E-2</v>
      </c>
      <c r="C112" s="2">
        <f ca="1">C$2*Data!$I112+C$3*Data!$J112+C$4*Data!$K112+C$5*Data!$L112+C$6</f>
        <v>0.37873278666346266</v>
      </c>
      <c r="D112" s="2">
        <f ca="1">D$2*Data!$I112+D$3*Data!$J112+D$4*Data!$K112+D$5*Data!$L112+D$6</f>
        <v>0.63364381380906165</v>
      </c>
      <c r="E112" s="2">
        <f ca="1">EXP(B112)</f>
        <v>1.0132757214270447</v>
      </c>
      <c r="F112" s="2">
        <f ca="1">EXP(C112)</f>
        <v>1.4604327364948648</v>
      </c>
      <c r="G112" s="2">
        <f ca="1">EXP(D112)</f>
        <v>1.8844647226485098</v>
      </c>
      <c r="H112" s="2">
        <f ca="1">SUM(E112:G112)</f>
        <v>4.3581731805704198</v>
      </c>
      <c r="I112" s="2">
        <f ca="1">E112/'1'!$H112</f>
        <v>0.23996099061072851</v>
      </c>
      <c r="J112" s="2">
        <f ca="1">F112/H112</f>
        <v>0.33510204298575302</v>
      </c>
      <c r="K112" s="2">
        <f ca="1">G112/H112</f>
        <v>0.43239785216654963</v>
      </c>
      <c r="L112" s="2">
        <f ca="1">-Data!$M112*LOG(I112)</f>
        <v>0</v>
      </c>
      <c r="M112" s="2">
        <f ca="1">-Data!$N112*LOG(J112)</f>
        <v>0</v>
      </c>
      <c r="N112" s="2">
        <f ca="1">-Data!$O112*LOG(K112)</f>
        <v>0.36411647196787678</v>
      </c>
      <c r="O112" s="2">
        <f ca="1">SUM(L112:N112)</f>
        <v>0.36411647196787678</v>
      </c>
      <c r="P112" s="2"/>
      <c r="Q112" s="2">
        <f ca="1">(I112-'1'!Z112)*'1'!V112</f>
        <v>-1.7291174578260158E-2</v>
      </c>
      <c r="R112" s="2">
        <f>('1'!$I112-Data!$M112)*'1'!W112</f>
        <v>4.1666666666666664E-2</v>
      </c>
      <c r="S112" s="2">
        <f>('1'!$I112-Data!$M112)*'1'!X112</f>
        <v>8.6629001883239173E-2</v>
      </c>
      <c r="T112" s="2">
        <f>('1'!$I112-Data!$M112)*'1'!Y112</f>
        <v>7.8703703703703734E-2</v>
      </c>
      <c r="U112" s="2">
        <f>('1'!$I112-Data!$M112)</f>
        <v>0.33333333333333337</v>
      </c>
      <c r="V112" s="2">
        <f>('1'!$J112-Data!$N112)*'1'!V112</f>
        <v>6.1728395061728399E-2</v>
      </c>
      <c r="W112" s="2">
        <f>('1'!$J112-Data!$N112)*'1'!W112</f>
        <v>4.1666666666666664E-2</v>
      </c>
      <c r="X112" s="2">
        <f>('1'!$J112-Data!$N112)*'1'!X112</f>
        <v>8.6629001883239173E-2</v>
      </c>
      <c r="Y112" s="2">
        <f>('1'!$J112-Data!$N112)*'1'!Y112</f>
        <v>7.8703703703703734E-2</v>
      </c>
      <c r="Z112" s="2">
        <f>('1'!$J112-Data!$N112)</f>
        <v>0.33333333333333337</v>
      </c>
      <c r="AA112" s="2">
        <f>('1'!$K112-Data!$O112)*'1'!V112</f>
        <v>-0.12345679012345678</v>
      </c>
      <c r="AB112" s="2">
        <f>('1'!$K112-Data!$O112)*'1'!W112</f>
        <v>-8.3333333333333315E-2</v>
      </c>
      <c r="AC112" s="2">
        <f>('1'!$K112-Data!$O112)*'1'!X112</f>
        <v>-0.17325800376647832</v>
      </c>
      <c r="AD112" s="2">
        <f>('1'!$K112-Data!$O112)*'1'!Y112</f>
        <v>-0.15740740740740744</v>
      </c>
      <c r="AE112" s="2">
        <f>('1'!$K112-Data!$O112)</f>
        <v>-0.66666666666666663</v>
      </c>
    </row>
    <row r="113" spans="2:31" x14ac:dyDescent="0.25">
      <c r="B113" s="2">
        <f ca="1">B$2*Data!$I113+B$3*Data!$J113+B$4*Data!$K113+B$5*Data!$L113+B$6</f>
        <v>-7.4216085439310353E-5</v>
      </c>
      <c r="C113" s="2">
        <f ca="1">C$2*Data!$I113+C$3*Data!$J113+C$4*Data!$K113+C$5*Data!$L113+C$6</f>
        <v>0.41262274433195822</v>
      </c>
      <c r="D113" s="2">
        <f ca="1">D$2*Data!$I113+D$3*Data!$J113+D$4*Data!$K113+D$5*Data!$L113+D$6</f>
        <v>0.70235260169698477</v>
      </c>
      <c r="E113" s="2">
        <f ca="1">EXP(B113)</f>
        <v>0.99992578666850618</v>
      </c>
      <c r="F113" s="2">
        <f ca="1">EXP(C113)</f>
        <v>1.5107749699917721</v>
      </c>
      <c r="G113" s="2">
        <f ca="1">EXP(D113)</f>
        <v>2.0184958426736772</v>
      </c>
      <c r="H113" s="2">
        <f ca="1">SUM(E113:G113)</f>
        <v>4.5291965993339556</v>
      </c>
      <c r="I113" s="2">
        <f ca="1">E113/'1'!$H113</f>
        <v>0.22985187144521155</v>
      </c>
      <c r="J113" s="2">
        <f ca="1">F113/H113</f>
        <v>0.33356356626558015</v>
      </c>
      <c r="K113" s="2">
        <f ca="1">G113/H113</f>
        <v>0.44566311009120441</v>
      </c>
      <c r="L113" s="2">
        <f ca="1">-Data!$M113*LOG(I113)</f>
        <v>0</v>
      </c>
      <c r="M113" s="2">
        <f ca="1">-Data!$N113*LOG(J113)</f>
        <v>0</v>
      </c>
      <c r="N113" s="2">
        <f ca="1">-Data!$O113*LOG(K113)</f>
        <v>0.35099331329296823</v>
      </c>
      <c r="O113" s="2">
        <f ca="1">SUM(L113:N113)</f>
        <v>0.35099331329296823</v>
      </c>
      <c r="P113" s="2"/>
      <c r="Q113" s="2">
        <f ca="1">(I113-'1'!Z113)*'1'!V113</f>
        <v>-2.1079557051284059E-2</v>
      </c>
      <c r="R113" s="2">
        <f>('1'!$I113-Data!$M113)*'1'!W113</f>
        <v>4.6296296296296287E-2</v>
      </c>
      <c r="S113" s="2">
        <f>('1'!$I113-Data!$M113)*'1'!X113</f>
        <v>9.0395480225988672E-2</v>
      </c>
      <c r="T113" s="2">
        <f>('1'!$I113-Data!$M113)*'1'!Y113</f>
        <v>9.7222222222222224E-2</v>
      </c>
      <c r="U113" s="2">
        <f>('1'!$I113-Data!$M113)</f>
        <v>0.33333333333333331</v>
      </c>
      <c r="V113" s="2">
        <f>('1'!$J113-Data!$N113)*'1'!V113</f>
        <v>6.7901234567901217E-2</v>
      </c>
      <c r="W113" s="2">
        <f>('1'!$J113-Data!$N113)*'1'!W113</f>
        <v>4.6296296296296287E-2</v>
      </c>
      <c r="X113" s="2">
        <f>('1'!$J113-Data!$N113)*'1'!X113</f>
        <v>9.0395480225988672E-2</v>
      </c>
      <c r="Y113" s="2">
        <f>('1'!$J113-Data!$N113)*'1'!Y113</f>
        <v>9.7222222222222224E-2</v>
      </c>
      <c r="Z113" s="2">
        <f>('1'!$J113-Data!$N113)</f>
        <v>0.33333333333333331</v>
      </c>
      <c r="AA113" s="2">
        <f>('1'!$K113-Data!$O113)*'1'!V113</f>
        <v>-0.13580246913580246</v>
      </c>
      <c r="AB113" s="2">
        <f>('1'!$K113-Data!$O113)*'1'!W113</f>
        <v>-9.2592592592592587E-2</v>
      </c>
      <c r="AC113" s="2">
        <f>('1'!$K113-Data!$O113)*'1'!X113</f>
        <v>-0.18079096045197737</v>
      </c>
      <c r="AD113" s="2">
        <f>('1'!$K113-Data!$O113)*'1'!Y113</f>
        <v>-0.19444444444444448</v>
      </c>
      <c r="AE113" s="2">
        <f>('1'!$K113-Data!$O113)</f>
        <v>-0.66666666666666674</v>
      </c>
    </row>
    <row r="114" spans="2:31" x14ac:dyDescent="0.25">
      <c r="B114" s="2">
        <f ca="1">B$2*Data!$I114+B$3*Data!$J114+B$4*Data!$K114+B$5*Data!$L114+B$6</f>
        <v>-1.3741849493369235E-2</v>
      </c>
      <c r="C114" s="2">
        <f ca="1">C$2*Data!$I114+C$3*Data!$J114+C$4*Data!$K114+C$5*Data!$L114+C$6</f>
        <v>0.46115904105532302</v>
      </c>
      <c r="D114" s="2">
        <f ca="1">D$2*Data!$I114+D$3*Data!$J114+D$4*Data!$K114+D$5*Data!$L114+D$6</f>
        <v>0.7873285711499115</v>
      </c>
      <c r="E114" s="2">
        <f ca="1">EXP(B114)</f>
        <v>0.98635213870392879</v>
      </c>
      <c r="F114" s="2">
        <f ca="1">EXP(C114)</f>
        <v>1.5859110561925731</v>
      </c>
      <c r="G114" s="2">
        <f ca="1">EXP(D114)</f>
        <v>2.1975180647827957</v>
      </c>
      <c r="H114" s="2">
        <f ca="1">SUM(E114:G114)</f>
        <v>4.7697812596792977</v>
      </c>
      <c r="I114" s="2">
        <f ca="1">E114/'1'!$H114</f>
        <v>0.21785271602983677</v>
      </c>
      <c r="J114" s="2">
        <f ca="1">F114/H114</f>
        <v>0.33249135963505461</v>
      </c>
      <c r="K114" s="2">
        <f ca="1">G114/H114</f>
        <v>0.46071673838782046</v>
      </c>
      <c r="L114" s="2">
        <f ca="1">-Data!$M114*LOG(I114)</f>
        <v>0</v>
      </c>
      <c r="M114" s="2">
        <f ca="1">-Data!$N114*LOG(J114)</f>
        <v>0</v>
      </c>
      <c r="N114" s="2">
        <f ca="1">-Data!$O114*LOG(K114)</f>
        <v>0.33656600902491535</v>
      </c>
      <c r="O114" s="2">
        <f ca="1">SUM(L114:N114)</f>
        <v>0.33656600902491535</v>
      </c>
      <c r="P114" s="2"/>
      <c r="Q114" s="2">
        <f ca="1">(I114-'1'!Z114)*'1'!V114</f>
        <v>-3.5285744176068376E-2</v>
      </c>
      <c r="R114" s="2">
        <f>('1'!$I114-Data!$M114)*'1'!W114</f>
        <v>4.6296296296296287E-2</v>
      </c>
      <c r="S114" s="2">
        <f>('1'!$I114-Data!$M114)*'1'!X114</f>
        <v>0.10546139359698681</v>
      </c>
      <c r="T114" s="2">
        <f>('1'!$I114-Data!$M114)*'1'!Y114</f>
        <v>9.2592592592592587E-2</v>
      </c>
      <c r="U114" s="2">
        <f>('1'!$I114-Data!$M114)</f>
        <v>0.33333333333333331</v>
      </c>
      <c r="V114" s="2">
        <f>('1'!$J114-Data!$N114)*'1'!V114</f>
        <v>0.10185185185185182</v>
      </c>
      <c r="W114" s="2">
        <f>('1'!$J114-Data!$N114)*'1'!W114</f>
        <v>4.6296296296296287E-2</v>
      </c>
      <c r="X114" s="2">
        <f>('1'!$J114-Data!$N114)*'1'!X114</f>
        <v>0.10546139359698681</v>
      </c>
      <c r="Y114" s="2">
        <f>('1'!$J114-Data!$N114)*'1'!Y114</f>
        <v>9.2592592592592587E-2</v>
      </c>
      <c r="Z114" s="2">
        <f>('1'!$J114-Data!$N114)</f>
        <v>0.33333333333333331</v>
      </c>
      <c r="AA114" s="2">
        <f>('1'!$K114-Data!$O114)*'1'!V114</f>
        <v>-0.20370370370370366</v>
      </c>
      <c r="AB114" s="2">
        <f>('1'!$K114-Data!$O114)*'1'!W114</f>
        <v>-9.2592592592592587E-2</v>
      </c>
      <c r="AC114" s="2">
        <f>('1'!$K114-Data!$O114)*'1'!X114</f>
        <v>-0.21092278719397364</v>
      </c>
      <c r="AD114" s="2">
        <f>('1'!$K114-Data!$O114)*'1'!Y114</f>
        <v>-0.1851851851851852</v>
      </c>
      <c r="AE114" s="2">
        <f>('1'!$K114-Data!$O114)</f>
        <v>-0.66666666666666674</v>
      </c>
    </row>
    <row r="115" spans="2:31" x14ac:dyDescent="0.25">
      <c r="B115" s="2">
        <f ca="1">B$2*Data!$I115+B$3*Data!$J115+B$4*Data!$K115+B$5*Data!$L115+B$6</f>
        <v>1.1952432029607357E-2</v>
      </c>
      <c r="C115" s="2">
        <f ca="1">C$2*Data!$I115+C$3*Data!$J115+C$4*Data!$K115+C$5*Data!$L115+C$6</f>
        <v>0.29619604417809531</v>
      </c>
      <c r="D115" s="2">
        <f ca="1">D$2*Data!$I115+D$3*Data!$J115+D$4*Data!$K115+D$5*Data!$L115+D$6</f>
        <v>0.48231762548721335</v>
      </c>
      <c r="E115" s="2">
        <f ca="1">EXP(B115)</f>
        <v>1.0120241477864016</v>
      </c>
      <c r="F115" s="2">
        <f ca="1">EXP(C115)</f>
        <v>1.3447337582168366</v>
      </c>
      <c r="G115" s="2">
        <f ca="1">EXP(D115)</f>
        <v>1.6198242010528852</v>
      </c>
      <c r="H115" s="2">
        <f ca="1">SUM(E115:G115)</f>
        <v>3.9765821070561236</v>
      </c>
      <c r="I115" s="2">
        <f ca="1">E115/'1'!$H115</f>
        <v>0.25920175149821856</v>
      </c>
      <c r="J115" s="2">
        <f ca="1">F115/H115</f>
        <v>0.33816320699897412</v>
      </c>
      <c r="K115" s="2">
        <f ca="1">G115/H115</f>
        <v>0.40734081616940288</v>
      </c>
      <c r="L115" s="2">
        <f ca="1">-Data!$M115*LOG(I115)</f>
        <v>0</v>
      </c>
      <c r="M115" s="2">
        <f ca="1">-Data!$N115*LOG(J115)</f>
        <v>0</v>
      </c>
      <c r="N115" s="2">
        <f ca="1">-Data!$O115*LOG(K115)</f>
        <v>0.39004207076591374</v>
      </c>
      <c r="O115" s="2">
        <f ca="1">SUM(L115:N115)</f>
        <v>0.39004207076591374</v>
      </c>
      <c r="P115" s="2"/>
      <c r="Q115" s="2">
        <f ca="1">(I115-'1'!Z115)*'1'!V115</f>
        <v>-4.1184212130619341E-3</v>
      </c>
      <c r="R115" s="2">
        <f>('1'!$I115-Data!$M115)*'1'!W115</f>
        <v>2.3148148148148143E-2</v>
      </c>
      <c r="S115" s="2">
        <f>('1'!$I115-Data!$M115)*'1'!X115</f>
        <v>6.5913370998116755E-2</v>
      </c>
      <c r="T115" s="2">
        <f>('1'!$I115-Data!$M115)*'1'!Y115</f>
        <v>7.407407407407407E-2</v>
      </c>
      <c r="U115" s="2">
        <f>('1'!$I115-Data!$M115)</f>
        <v>0.33333333333333331</v>
      </c>
      <c r="V115" s="2">
        <f>('1'!$J115-Data!$N115)*'1'!V115</f>
        <v>1.8518518518518531E-2</v>
      </c>
      <c r="W115" s="2">
        <f>('1'!$J115-Data!$N115)*'1'!W115</f>
        <v>2.3148148148148143E-2</v>
      </c>
      <c r="X115" s="2">
        <f>('1'!$J115-Data!$N115)*'1'!X115</f>
        <v>6.5913370998116755E-2</v>
      </c>
      <c r="Y115" s="2">
        <f>('1'!$J115-Data!$N115)*'1'!Y115</f>
        <v>7.407407407407407E-2</v>
      </c>
      <c r="Z115" s="2">
        <f>('1'!$J115-Data!$N115)</f>
        <v>0.33333333333333331</v>
      </c>
      <c r="AA115" s="2">
        <f>('1'!$K115-Data!$O115)*'1'!V115</f>
        <v>-3.703703703703707E-2</v>
      </c>
      <c r="AB115" s="2">
        <f>('1'!$K115-Data!$O115)*'1'!W115</f>
        <v>-4.6296296296296294E-2</v>
      </c>
      <c r="AC115" s="2">
        <f>('1'!$K115-Data!$O115)*'1'!X115</f>
        <v>-0.13182674199623354</v>
      </c>
      <c r="AD115" s="2">
        <f>('1'!$K115-Data!$O115)*'1'!Y115</f>
        <v>-0.14814814814814817</v>
      </c>
      <c r="AE115" s="2">
        <f>('1'!$K115-Data!$O115)</f>
        <v>-0.66666666666666674</v>
      </c>
    </row>
    <row r="116" spans="2:31" x14ac:dyDescent="0.25">
      <c r="B116" s="2">
        <f ca="1">B$2*Data!$I116+B$3*Data!$J116+B$4*Data!$K116+B$5*Data!$L116+B$6</f>
        <v>-2.5458851135436444E-3</v>
      </c>
      <c r="C116" s="2">
        <f ca="1">C$2*Data!$I116+C$3*Data!$J116+C$4*Data!$K116+C$5*Data!$L116+C$6</f>
        <v>0.42699077121924633</v>
      </c>
      <c r="D116" s="2">
        <f ca="1">D$2*Data!$I116+D$3*Data!$J116+D$4*Data!$K116+D$5*Data!$L116+D$6</f>
        <v>0.72004663931802682</v>
      </c>
      <c r="E116" s="2">
        <f ca="1">EXP(B116)</f>
        <v>0.99745735290350601</v>
      </c>
      <c r="F116" s="2">
        <f ca="1">EXP(C116)</f>
        <v>1.5326385172739003</v>
      </c>
      <c r="G116" s="2">
        <f ca="1">EXP(D116)</f>
        <v>2.054529030242227</v>
      </c>
      <c r="H116" s="2">
        <f ca="1">SUM(E116:G116)</f>
        <v>4.5846249004196338</v>
      </c>
      <c r="I116" s="2">
        <f ca="1">E116/'1'!$H116</f>
        <v>0.22703403270607089</v>
      </c>
      <c r="J116" s="2">
        <f ca="1">F116/H116</f>
        <v>0.33429965385687649</v>
      </c>
      <c r="K116" s="2">
        <f ca="1">G116/H116</f>
        <v>0.44813459658480992</v>
      </c>
      <c r="L116" s="2">
        <f ca="1">-Data!$M116*LOG(I116)</f>
        <v>0</v>
      </c>
      <c r="M116" s="2">
        <f ca="1">-Data!$N116*LOG(J116)</f>
        <v>0</v>
      </c>
      <c r="N116" s="2">
        <f ca="1">-Data!$O116*LOG(K116)</f>
        <v>0.34859152668306997</v>
      </c>
      <c r="O116" s="2">
        <f ca="1">SUM(L116:N116)</f>
        <v>0.34859152668306997</v>
      </c>
      <c r="P116" s="2"/>
      <c r="Q116" s="2">
        <f ca="1">(I116-'1'!Z116)*'1'!V116</f>
        <v>-2.952758350757291E-2</v>
      </c>
      <c r="R116" s="2">
        <f>('1'!$I116-Data!$M116)*'1'!W116</f>
        <v>4.1666666666666664E-2</v>
      </c>
      <c r="S116" s="2">
        <f>('1'!$I116-Data!$M116)*'1'!X116</f>
        <v>9.9811676082862538E-2</v>
      </c>
      <c r="T116" s="2">
        <f>('1'!$I116-Data!$M116)*'1'!Y116</f>
        <v>7.8703703703703734E-2</v>
      </c>
      <c r="U116" s="2">
        <f>('1'!$I116-Data!$M116)</f>
        <v>0.33333333333333337</v>
      </c>
      <c r="V116" s="2">
        <f>('1'!$J116-Data!$N116)*'1'!V116</f>
        <v>9.2592592592592601E-2</v>
      </c>
      <c r="W116" s="2">
        <f>('1'!$J116-Data!$N116)*'1'!W116</f>
        <v>4.1666666666666664E-2</v>
      </c>
      <c r="X116" s="2">
        <f>('1'!$J116-Data!$N116)*'1'!X116</f>
        <v>9.9811676082862538E-2</v>
      </c>
      <c r="Y116" s="2">
        <f>('1'!$J116-Data!$N116)*'1'!Y116</f>
        <v>7.8703703703703734E-2</v>
      </c>
      <c r="Z116" s="2">
        <f>('1'!$J116-Data!$N116)</f>
        <v>0.33333333333333337</v>
      </c>
      <c r="AA116" s="2">
        <f>('1'!$K116-Data!$O116)*'1'!V116</f>
        <v>-0.18518518518518517</v>
      </c>
      <c r="AB116" s="2">
        <f>('1'!$K116-Data!$O116)*'1'!W116</f>
        <v>-8.3333333333333315E-2</v>
      </c>
      <c r="AC116" s="2">
        <f>('1'!$K116-Data!$O116)*'1'!X116</f>
        <v>-0.19962335216572505</v>
      </c>
      <c r="AD116" s="2">
        <f>('1'!$K116-Data!$O116)*'1'!Y116</f>
        <v>-0.15740740740740744</v>
      </c>
      <c r="AE116" s="2">
        <f>('1'!$K116-Data!$O116)</f>
        <v>-0.66666666666666663</v>
      </c>
    </row>
    <row r="117" spans="2:31" x14ac:dyDescent="0.25">
      <c r="B117" s="2">
        <f ca="1">B$2*Data!$I117+B$3*Data!$J117+B$4*Data!$K117+B$5*Data!$L117+B$6</f>
        <v>-2.1130028842640911E-2</v>
      </c>
      <c r="C117" s="2">
        <f ca="1">C$2*Data!$I117+C$3*Data!$J117+C$4*Data!$K117+C$5*Data!$L117+C$6</f>
        <v>0.38929841305623802</v>
      </c>
      <c r="D117" s="2">
        <f ca="1">D$2*Data!$I117+D$3*Data!$J117+D$4*Data!$K117+D$5*Data!$L117+D$6</f>
        <v>0.65089941239657323</v>
      </c>
      <c r="E117" s="2">
        <f ca="1">EXP(B117)</f>
        <v>0.97909164613851807</v>
      </c>
      <c r="F117" s="2">
        <f ca="1">EXP(C117)</f>
        <v>1.4759449268593468</v>
      </c>
      <c r="G117" s="2">
        <f ca="1">EXP(D117)</f>
        <v>1.9172644651953341</v>
      </c>
      <c r="H117" s="2">
        <f ca="1">SUM(E117:G117)</f>
        <v>4.372301038193199</v>
      </c>
      <c r="I117" s="2">
        <f ca="1">E117/'1'!$H117</f>
        <v>0.23236831928993473</v>
      </c>
      <c r="J117" s="2">
        <f ca="1">F117/H117</f>
        <v>0.33756708743670205</v>
      </c>
      <c r="K117" s="2">
        <f ca="1">G117/H117</f>
        <v>0.43850239232100557</v>
      </c>
      <c r="L117" s="2">
        <f ca="1">-Data!$M117*LOG(I117)</f>
        <v>0</v>
      </c>
      <c r="M117" s="2">
        <f ca="1">-Data!$N117*LOG(J117)</f>
        <v>0</v>
      </c>
      <c r="N117" s="2">
        <f ca="1">-Data!$O117*LOG(K117)</f>
        <v>0.35802803292741042</v>
      </c>
      <c r="O117" s="2">
        <f ca="1">SUM(L117:N117)</f>
        <v>0.35802803292741042</v>
      </c>
      <c r="P117" s="2"/>
      <c r="Q117" s="2">
        <f ca="1">(I117-'1'!Z117)*'1'!V117</f>
        <v>-2.2436669787421905E-2</v>
      </c>
      <c r="R117" s="2">
        <f>('1'!$I117-Data!$M117)*'1'!W117</f>
        <v>2.3148148148148143E-2</v>
      </c>
      <c r="S117" s="2">
        <f>('1'!$I117-Data!$M117)*'1'!X117</f>
        <v>9.0395480225988672E-2</v>
      </c>
      <c r="T117" s="2">
        <f>('1'!$I117-Data!$M117)*'1'!Y117</f>
        <v>7.8703703703703692E-2</v>
      </c>
      <c r="U117" s="2">
        <f>('1'!$I117-Data!$M117)</f>
        <v>0.33333333333333331</v>
      </c>
      <c r="V117" s="2">
        <f>('1'!$J117-Data!$N117)*'1'!V117</f>
        <v>7.407407407407407E-2</v>
      </c>
      <c r="W117" s="2">
        <f>('1'!$J117-Data!$N117)*'1'!W117</f>
        <v>2.3148148148148143E-2</v>
      </c>
      <c r="X117" s="2">
        <f>('1'!$J117-Data!$N117)*'1'!X117</f>
        <v>9.0395480225988672E-2</v>
      </c>
      <c r="Y117" s="2">
        <f>('1'!$J117-Data!$N117)*'1'!Y117</f>
        <v>7.8703703703703692E-2</v>
      </c>
      <c r="Z117" s="2">
        <f>('1'!$J117-Data!$N117)</f>
        <v>0.33333333333333331</v>
      </c>
      <c r="AA117" s="2">
        <f>('1'!$K117-Data!$O117)*'1'!V117</f>
        <v>-0.14814814814814817</v>
      </c>
      <c r="AB117" s="2">
        <f>('1'!$K117-Data!$O117)*'1'!W117</f>
        <v>-4.6296296296296294E-2</v>
      </c>
      <c r="AC117" s="2">
        <f>('1'!$K117-Data!$O117)*'1'!X117</f>
        <v>-0.18079096045197737</v>
      </c>
      <c r="AD117" s="2">
        <f>('1'!$K117-Data!$O117)*'1'!Y117</f>
        <v>-0.15740740740740741</v>
      </c>
      <c r="AE117" s="2">
        <f>('1'!$K117-Data!$O117)</f>
        <v>-0.66666666666666674</v>
      </c>
    </row>
    <row r="118" spans="2:31" x14ac:dyDescent="0.25">
      <c r="B118" s="2">
        <f ca="1">B$2*Data!$I118+B$3*Data!$J118+B$4*Data!$K118+B$5*Data!$L118+B$6</f>
        <v>2.3551064390702175E-2</v>
      </c>
      <c r="C118" s="2">
        <f ca="1">C$2*Data!$I118+C$3*Data!$J118+C$4*Data!$K118+C$5*Data!$L118+C$6</f>
        <v>0.46783911087585373</v>
      </c>
      <c r="D118" s="2">
        <f ca="1">D$2*Data!$I118+D$3*Data!$J118+D$4*Data!$K118+D$5*Data!$L118+D$6</f>
        <v>0.80959852529841669</v>
      </c>
      <c r="E118" s="2">
        <f ca="1">EXP(B118)</f>
        <v>1.0238305806965815</v>
      </c>
      <c r="F118" s="2">
        <f ca="1">EXP(C118)</f>
        <v>1.5965405160171851</v>
      </c>
      <c r="G118" s="2">
        <f ca="1">EXP(D118)</f>
        <v>2.2470056896251731</v>
      </c>
      <c r="H118" s="2">
        <f ca="1">SUM(E118:G118)</f>
        <v>4.867376786338939</v>
      </c>
      <c r="I118" s="2">
        <f ca="1">E118/'1'!$H118</f>
        <v>0.22119201147710574</v>
      </c>
      <c r="J118" s="2">
        <f ca="1">F118/H118</f>
        <v>0.32800840906710321</v>
      </c>
      <c r="K118" s="2">
        <f ca="1">G118/H118</f>
        <v>0.46164613677160748</v>
      </c>
      <c r="L118" s="2">
        <f ca="1">-Data!$M118*LOG(I118)</f>
        <v>0</v>
      </c>
      <c r="M118" s="2">
        <f ca="1">-Data!$N118*LOG(J118)</f>
        <v>0</v>
      </c>
      <c r="N118" s="2">
        <f ca="1">-Data!$O118*LOG(K118)</f>
        <v>0.33569079442761623</v>
      </c>
      <c r="O118" s="2">
        <f ca="1">SUM(L118:N118)</f>
        <v>0.33569079442761623</v>
      </c>
      <c r="P118" s="2"/>
      <c r="Q118" s="2">
        <f ca="1">(I118-'1'!Z118)*'1'!V118</f>
        <v>-3.0112021609542607E-2</v>
      </c>
      <c r="R118" s="2">
        <f>('1'!$I118-Data!$M118)*'1'!W118</f>
        <v>7.4074074074074084E-2</v>
      </c>
      <c r="S118" s="2">
        <f>('1'!$I118-Data!$M118)*'1'!X118</f>
        <v>9.6045197740113011E-2</v>
      </c>
      <c r="T118" s="2">
        <f>('1'!$I118-Data!$M118)*'1'!Y118</f>
        <v>0.11111111111111113</v>
      </c>
      <c r="U118" s="2">
        <f>('1'!$I118-Data!$M118)</f>
        <v>0.33333333333333337</v>
      </c>
      <c r="V118" s="2">
        <f>('1'!$J118-Data!$N118)*'1'!V118</f>
        <v>8.9506172839506196E-2</v>
      </c>
      <c r="W118" s="2">
        <f>('1'!$J118-Data!$N118)*'1'!W118</f>
        <v>7.4074074074074084E-2</v>
      </c>
      <c r="X118" s="2">
        <f>('1'!$J118-Data!$N118)*'1'!X118</f>
        <v>9.6045197740113011E-2</v>
      </c>
      <c r="Y118" s="2">
        <f>('1'!$J118-Data!$N118)*'1'!Y118</f>
        <v>0.11111111111111113</v>
      </c>
      <c r="Z118" s="2">
        <f>('1'!$J118-Data!$N118)</f>
        <v>0.33333333333333337</v>
      </c>
      <c r="AA118" s="2">
        <f>('1'!$K118-Data!$O118)*'1'!V118</f>
        <v>-0.17901234567901236</v>
      </c>
      <c r="AB118" s="2">
        <f>('1'!$K118-Data!$O118)*'1'!W118</f>
        <v>-0.14814814814814814</v>
      </c>
      <c r="AC118" s="2">
        <f>('1'!$K118-Data!$O118)*'1'!X118</f>
        <v>-0.19209039548022599</v>
      </c>
      <c r="AD118" s="2">
        <f>('1'!$K118-Data!$O118)*'1'!Y118</f>
        <v>-0.22222222222222224</v>
      </c>
      <c r="AE118" s="2">
        <f>('1'!$K118-Data!$O118)</f>
        <v>-0.66666666666666663</v>
      </c>
    </row>
    <row r="119" spans="2:31" x14ac:dyDescent="0.25">
      <c r="B119" s="2">
        <f ca="1">B$2*Data!$I119+B$3*Data!$J119+B$4*Data!$K119+B$5*Data!$L119+B$6</f>
        <v>3.4026809854318343E-2</v>
      </c>
      <c r="C119" s="2">
        <f ca="1">C$2*Data!$I119+C$3*Data!$J119+C$4*Data!$K119+C$5*Data!$L119+C$6</f>
        <v>0.38857643673090697</v>
      </c>
      <c r="D119" s="2">
        <f ca="1">D$2*Data!$I119+D$3*Data!$J119+D$4*Data!$K119+D$5*Data!$L119+D$6</f>
        <v>0.65670466301929531</v>
      </c>
      <c r="E119" s="2">
        <f ca="1">EXP(B119)</f>
        <v>1.0346123441625208</v>
      </c>
      <c r="F119" s="2">
        <f ca="1">EXP(C119)</f>
        <v>1.4748797141401144</v>
      </c>
      <c r="G119" s="2">
        <f ca="1">EXP(D119)</f>
        <v>1.9284270353353909</v>
      </c>
      <c r="H119" s="2">
        <f ca="1">SUM(E119:G119)</f>
        <v>4.4379190936380262</v>
      </c>
      <c r="I119" s="2">
        <f ca="1">E119/'1'!$H119</f>
        <v>0.24066369366763393</v>
      </c>
      <c r="J119" s="2">
        <f ca="1">F119/H119</f>
        <v>0.33233587251611379</v>
      </c>
      <c r="K119" s="2">
        <f ca="1">G119/H119</f>
        <v>0.43453406757682567</v>
      </c>
      <c r="L119" s="2">
        <f ca="1">-Data!$M119*LOG(I119)</f>
        <v>0</v>
      </c>
      <c r="M119" s="2">
        <f ca="1">-Data!$N119*LOG(J119)</f>
        <v>0</v>
      </c>
      <c r="N119" s="2">
        <f ca="1">-Data!$O119*LOG(K119)</f>
        <v>0.36197616908727764</v>
      </c>
      <c r="O119" s="2">
        <f ca="1">SUM(L119:N119)</f>
        <v>0.36197616908727764</v>
      </c>
      <c r="P119" s="2"/>
      <c r="Q119" s="2">
        <f ca="1">(I119-'1'!Z119)*'1'!V119</f>
        <v>-1.8877148820790612E-2</v>
      </c>
      <c r="R119" s="2">
        <f>('1'!$I119-Data!$M119)*'1'!W119</f>
        <v>5.5555555555555552E-2</v>
      </c>
      <c r="S119" s="2">
        <f>('1'!$I119-Data!$M119)*'1'!X119</f>
        <v>7.7212806026365335E-2</v>
      </c>
      <c r="T119" s="2">
        <f>('1'!$I119-Data!$M119)*'1'!Y119</f>
        <v>8.7962962962962937E-2</v>
      </c>
      <c r="U119" s="2">
        <f>('1'!$I119-Data!$M119)</f>
        <v>0.33333333333333331</v>
      </c>
      <c r="V119" s="2">
        <f>('1'!$J119-Data!$N119)*'1'!V119</f>
        <v>6.7901234567901217E-2</v>
      </c>
      <c r="W119" s="2">
        <f>('1'!$J119-Data!$N119)*'1'!W119</f>
        <v>5.5555555555555552E-2</v>
      </c>
      <c r="X119" s="2">
        <f>('1'!$J119-Data!$N119)*'1'!X119</f>
        <v>7.7212806026365335E-2</v>
      </c>
      <c r="Y119" s="2">
        <f>('1'!$J119-Data!$N119)*'1'!Y119</f>
        <v>8.7962962962962937E-2</v>
      </c>
      <c r="Z119" s="2">
        <f>('1'!$J119-Data!$N119)</f>
        <v>0.33333333333333331</v>
      </c>
      <c r="AA119" s="2">
        <f>('1'!$K119-Data!$O119)*'1'!V119</f>
        <v>-0.13580246913580246</v>
      </c>
      <c r="AB119" s="2">
        <f>('1'!$K119-Data!$O119)*'1'!W119</f>
        <v>-0.11111111111111112</v>
      </c>
      <c r="AC119" s="2">
        <f>('1'!$K119-Data!$O119)*'1'!X119</f>
        <v>-0.1544256120527307</v>
      </c>
      <c r="AD119" s="2">
        <f>('1'!$K119-Data!$O119)*'1'!Y119</f>
        <v>-0.1759259259259259</v>
      </c>
      <c r="AE119" s="2">
        <f>('1'!$K119-Data!$O119)</f>
        <v>-0.66666666666666674</v>
      </c>
    </row>
    <row r="120" spans="2:31" x14ac:dyDescent="0.25">
      <c r="B120" s="2">
        <f ca="1">B$2*Data!$I120+B$3*Data!$J120+B$4*Data!$K120+B$5*Data!$L120+B$6</f>
        <v>-1.2342343001332523E-3</v>
      </c>
      <c r="C120" s="2">
        <f ca="1">C$2*Data!$I120+C$3*Data!$J120+C$4*Data!$K120+C$5*Data!$L120+C$6</f>
        <v>0.37649224316483465</v>
      </c>
      <c r="D120" s="2">
        <f ca="1">D$2*Data!$I120+D$3*Data!$J120+D$4*Data!$K120+D$5*Data!$L120+D$6</f>
        <v>0.63088605893190974</v>
      </c>
      <c r="E120" s="2">
        <f ca="1">EXP(B120)</f>
        <v>0.99876652705375868</v>
      </c>
      <c r="F120" s="2">
        <f ca="1">EXP(C120)</f>
        <v>1.4571642363975814</v>
      </c>
      <c r="G120" s="2">
        <f ca="1">EXP(D120)</f>
        <v>1.879274990162926</v>
      </c>
      <c r="H120" s="2">
        <f ca="1">SUM(E120:G120)</f>
        <v>4.3352057536142663</v>
      </c>
      <c r="I120" s="2">
        <f ca="1">E120/'1'!$H120</f>
        <v>0.23806110872940814</v>
      </c>
      <c r="J120" s="2">
        <f ca="1">F120/H120</f>
        <v>0.33612343201536438</v>
      </c>
      <c r="K120" s="2">
        <f ca="1">G120/H120</f>
        <v>0.43349153349784431</v>
      </c>
      <c r="L120" s="2">
        <f ca="1">-Data!$M120*LOG(I120)</f>
        <v>0</v>
      </c>
      <c r="M120" s="2">
        <f ca="1">-Data!$N120*LOG(J120)</f>
        <v>0</v>
      </c>
      <c r="N120" s="2">
        <f ca="1">-Data!$O120*LOG(K120)</f>
        <v>0.36301938028944153</v>
      </c>
      <c r="O120" s="2">
        <f ca="1">SUM(L120:N120)</f>
        <v>0.36301938028944153</v>
      </c>
      <c r="P120" s="2"/>
      <c r="Q120" s="2">
        <f ca="1">(I120-'1'!Z120)*'1'!V120</f>
        <v>-1.8525154784096564E-2</v>
      </c>
      <c r="R120" s="2">
        <f>('1'!$I120-Data!$M120)*'1'!W120</f>
        <v>3.2407407407407406E-2</v>
      </c>
      <c r="S120" s="2">
        <f>('1'!$I120-Data!$M120)*'1'!X120</f>
        <v>8.0979284369114862E-2</v>
      </c>
      <c r="T120" s="2">
        <f>('1'!$I120-Data!$M120)*'1'!Y120</f>
        <v>8.3333333333333329E-2</v>
      </c>
      <c r="U120" s="2">
        <f>('1'!$I120-Data!$M120)</f>
        <v>0.33333333333333331</v>
      </c>
      <c r="V120" s="2">
        <f>('1'!$J120-Data!$N120)*'1'!V120</f>
        <v>6.4814814814814811E-2</v>
      </c>
      <c r="W120" s="2">
        <f>('1'!$J120-Data!$N120)*'1'!W120</f>
        <v>3.2407407407407406E-2</v>
      </c>
      <c r="X120" s="2">
        <f>('1'!$J120-Data!$N120)*'1'!X120</f>
        <v>8.0979284369114862E-2</v>
      </c>
      <c r="Y120" s="2">
        <f>('1'!$J120-Data!$N120)*'1'!Y120</f>
        <v>8.3333333333333329E-2</v>
      </c>
      <c r="Z120" s="2">
        <f>('1'!$J120-Data!$N120)</f>
        <v>0.33333333333333331</v>
      </c>
      <c r="AA120" s="2">
        <f>('1'!$K120-Data!$O120)*'1'!V120</f>
        <v>-0.12962962962962965</v>
      </c>
      <c r="AB120" s="2">
        <f>('1'!$K120-Data!$O120)*'1'!W120</f>
        <v>-6.4814814814814825E-2</v>
      </c>
      <c r="AC120" s="2">
        <f>('1'!$K120-Data!$O120)*'1'!X120</f>
        <v>-0.16195856873822975</v>
      </c>
      <c r="AD120" s="2">
        <f>('1'!$K120-Data!$O120)*'1'!Y120</f>
        <v>-0.16666666666666669</v>
      </c>
      <c r="AE120" s="2">
        <f>('1'!$K120-Data!$O120)</f>
        <v>-0.66666666666666674</v>
      </c>
    </row>
    <row r="121" spans="2:31" x14ac:dyDescent="0.25">
      <c r="B121" s="2">
        <f ca="1">B$2*Data!$I121+B$3*Data!$J121+B$4*Data!$K121+B$5*Data!$L121+B$6</f>
        <v>7.4913470598183818E-3</v>
      </c>
      <c r="C121" s="2">
        <f ca="1">C$2*Data!$I121+C$3*Data!$J121+C$4*Data!$K121+C$5*Data!$L121+C$6</f>
        <v>0.40951157326131365</v>
      </c>
      <c r="D121" s="2">
        <f ca="1">D$2*Data!$I121+D$3*Data!$J121+D$4*Data!$K121+D$5*Data!$L121+D$6</f>
        <v>0.69514397233423597</v>
      </c>
      <c r="E121" s="2">
        <f ca="1">EXP(B121)</f>
        <v>1.0075194774010459</v>
      </c>
      <c r="F121" s="2">
        <f ca="1">EXP(C121)</f>
        <v>1.5060819947207547</v>
      </c>
      <c r="G121" s="2">
        <f ca="1">EXP(D121)</f>
        <v>2.003997573381151</v>
      </c>
      <c r="H121" s="2">
        <f ca="1">SUM(E121:G121)</f>
        <v>4.5175990455029513</v>
      </c>
      <c r="I121" s="2">
        <f ca="1">E121/'1'!$H121</f>
        <v>0.23181014740225872</v>
      </c>
      <c r="J121" s="2">
        <f ca="1">F121/H121</f>
        <v>0.33338106802992745</v>
      </c>
      <c r="K121" s="2">
        <f ca="1">G121/H121</f>
        <v>0.44359792739376297</v>
      </c>
      <c r="L121" s="2">
        <f ca="1">-Data!$M121*LOG(I121)</f>
        <v>0</v>
      </c>
      <c r="M121" s="2">
        <f ca="1">-Data!$N121*LOG(J121)</f>
        <v>0</v>
      </c>
      <c r="N121" s="2">
        <f ca="1">-Data!$O121*LOG(K121)</f>
        <v>0.353010491656229</v>
      </c>
      <c r="O121" s="2">
        <f ca="1">SUM(L121:N121)</f>
        <v>0.353010491656229</v>
      </c>
      <c r="P121" s="2"/>
      <c r="Q121" s="2">
        <f ca="1">(I121-'1'!Z121)*'1'!V121</f>
        <v>-2.3500737484045041E-2</v>
      </c>
      <c r="R121" s="2">
        <f>('1'!$I121-Data!$M121)*'1'!W121</f>
        <v>4.6296296296296287E-2</v>
      </c>
      <c r="S121" s="2">
        <f>('1'!$I121-Data!$M121)*'1'!X121</f>
        <v>8.4745762711864403E-2</v>
      </c>
      <c r="T121" s="2">
        <f>('1'!$I121-Data!$M121)*'1'!Y121</f>
        <v>9.2592592592592587E-2</v>
      </c>
      <c r="U121" s="2">
        <f>('1'!$I121-Data!$M121)</f>
        <v>0.33333333333333331</v>
      </c>
      <c r="V121" s="2">
        <f>('1'!$J121-Data!$N121)*'1'!V121</f>
        <v>7.7160493827160476E-2</v>
      </c>
      <c r="W121" s="2">
        <f>('1'!$J121-Data!$N121)*'1'!W121</f>
        <v>4.6296296296296287E-2</v>
      </c>
      <c r="X121" s="2">
        <f>('1'!$J121-Data!$N121)*'1'!X121</f>
        <v>8.4745762711864403E-2</v>
      </c>
      <c r="Y121" s="2">
        <f>('1'!$J121-Data!$N121)*'1'!Y121</f>
        <v>9.2592592592592587E-2</v>
      </c>
      <c r="Z121" s="2">
        <f>('1'!$J121-Data!$N121)</f>
        <v>0.33333333333333331</v>
      </c>
      <c r="AA121" s="2">
        <f>('1'!$K121-Data!$O121)*'1'!V121</f>
        <v>-0.15432098765432098</v>
      </c>
      <c r="AB121" s="2">
        <f>('1'!$K121-Data!$O121)*'1'!W121</f>
        <v>-9.2592592592592587E-2</v>
      </c>
      <c r="AC121" s="2">
        <f>('1'!$K121-Data!$O121)*'1'!X121</f>
        <v>-0.16949152542372883</v>
      </c>
      <c r="AD121" s="2">
        <f>('1'!$K121-Data!$O121)*'1'!Y121</f>
        <v>-0.1851851851851852</v>
      </c>
      <c r="AE121" s="2">
        <f>('1'!$K121-Data!$O121)</f>
        <v>-0.66666666666666674</v>
      </c>
    </row>
    <row r="122" spans="2:31" x14ac:dyDescent="0.25">
      <c r="B122" s="2">
        <f ca="1">B$2*Data!$I122+B$3*Data!$J122+B$4*Data!$K122+B$5*Data!$L122+B$6</f>
        <v>-1.2035440702200695E-2</v>
      </c>
      <c r="C122" s="2">
        <f ca="1">C$2*Data!$I122+C$3*Data!$J122+C$4*Data!$K122+C$5*Data!$L122+C$6</f>
        <v>0.34916939513945761</v>
      </c>
      <c r="D122" s="2">
        <f ca="1">D$2*Data!$I122+D$3*Data!$J122+D$4*Data!$K122+D$5*Data!$L122+D$6</f>
        <v>0.58292254273788513</v>
      </c>
      <c r="E122" s="2">
        <f ca="1">EXP(B122)</f>
        <v>0.98803669552712525</v>
      </c>
      <c r="F122" s="2">
        <f ca="1">EXP(C122)</f>
        <v>1.417889353564953</v>
      </c>
      <c r="G122" s="2">
        <f ca="1">EXP(D122)</f>
        <v>1.7912658393372289</v>
      </c>
      <c r="H122" s="2">
        <f ca="1">SUM(E122:G122)</f>
        <v>4.1971918884293071</v>
      </c>
      <c r="I122" s="2">
        <f ca="1">E122/'1'!$H122</f>
        <v>0.24235947322545531</v>
      </c>
      <c r="J122" s="2">
        <f ca="1">F122/H122</f>
        <v>0.33781856804635213</v>
      </c>
      <c r="K122" s="2">
        <f ca="1">G122/H122</f>
        <v>0.42677720889419829</v>
      </c>
      <c r="L122" s="2">
        <f ca="1">-Data!$M122*LOG(I122)</f>
        <v>0</v>
      </c>
      <c r="M122" s="2">
        <f ca="1">-Data!$N122*LOG(J122)</f>
        <v>0</v>
      </c>
      <c r="N122" s="2">
        <f ca="1">-Data!$O122*LOG(K122)</f>
        <v>0.36979878117768339</v>
      </c>
      <c r="O122" s="2">
        <f ca="1">SUM(L122:N122)</f>
        <v>0.36979878117768339</v>
      </c>
      <c r="P122" s="2"/>
      <c r="Q122" s="2">
        <f ca="1">(I122-'1'!Z122)*'1'!V122</f>
        <v>-1.1792907791761975E-2</v>
      </c>
      <c r="R122" s="2">
        <f>('1'!$I122-Data!$M122)*'1'!W122</f>
        <v>2.314814814814815E-2</v>
      </c>
      <c r="S122" s="2">
        <f>('1'!$I122-Data!$M122)*'1'!X122</f>
        <v>7.5329566854990607E-2</v>
      </c>
      <c r="T122" s="2">
        <f>('1'!$I122-Data!$M122)*'1'!Y122</f>
        <v>8.7962962962962979E-2</v>
      </c>
      <c r="U122" s="2">
        <f>('1'!$I122-Data!$M122)</f>
        <v>0.33333333333333337</v>
      </c>
      <c r="V122" s="2">
        <f>('1'!$J122-Data!$N122)*'1'!V122</f>
        <v>4.3209876543209895E-2</v>
      </c>
      <c r="W122" s="2">
        <f>('1'!$J122-Data!$N122)*'1'!W122</f>
        <v>2.314814814814815E-2</v>
      </c>
      <c r="X122" s="2">
        <f>('1'!$J122-Data!$N122)*'1'!X122</f>
        <v>7.5329566854990607E-2</v>
      </c>
      <c r="Y122" s="2">
        <f>('1'!$J122-Data!$N122)*'1'!Y122</f>
        <v>8.7962962962962979E-2</v>
      </c>
      <c r="Z122" s="2">
        <f>('1'!$J122-Data!$N122)</f>
        <v>0.33333333333333337</v>
      </c>
      <c r="AA122" s="2">
        <f>('1'!$K122-Data!$O122)*'1'!V122</f>
        <v>-8.6419753086419776E-2</v>
      </c>
      <c r="AB122" s="2">
        <f>('1'!$K122-Data!$O122)*'1'!W122</f>
        <v>-4.6296296296296294E-2</v>
      </c>
      <c r="AC122" s="2">
        <f>('1'!$K122-Data!$O122)*'1'!X122</f>
        <v>-0.15065913370998119</v>
      </c>
      <c r="AD122" s="2">
        <f>('1'!$K122-Data!$O122)*'1'!Y122</f>
        <v>-0.17592592592592593</v>
      </c>
      <c r="AE122" s="2">
        <f>('1'!$K122-Data!$O122)</f>
        <v>-0.66666666666666663</v>
      </c>
    </row>
    <row r="123" spans="2:31" x14ac:dyDescent="0.25">
      <c r="B123" s="2">
        <f ca="1">B$2*Data!$I123+B$3*Data!$J123+B$4*Data!$K123+B$5*Data!$L123+B$6</f>
        <v>-8.5915029028833245E-3</v>
      </c>
      <c r="C123" s="2">
        <f ca="1">C$2*Data!$I123+C$3*Data!$J123+C$4*Data!$K123+C$5*Data!$L123+C$6</f>
        <v>0.38091182767740905</v>
      </c>
      <c r="D123" s="2">
        <f ca="1">D$2*Data!$I123+D$3*Data!$J123+D$4*Data!$K123+D$5*Data!$L123+D$6</f>
        <v>0.64865425149666145</v>
      </c>
      <c r="E123" s="2">
        <f ca="1">EXP(B123)</f>
        <v>0.9914452985893919</v>
      </c>
      <c r="F123" s="2">
        <f ca="1">EXP(C123)</f>
        <v>1.4636185490733546</v>
      </c>
      <c r="G123" s="2">
        <f ca="1">EXP(D123)</f>
        <v>1.9129647265919414</v>
      </c>
      <c r="H123" s="2">
        <f ca="1">SUM(E123:G123)</f>
        <v>4.368028574254688</v>
      </c>
      <c r="I123" s="2">
        <f ca="1">E123/'1'!$H123</f>
        <v>0.23515071021592285</v>
      </c>
      <c r="J123" s="2">
        <f ca="1">F123/H123</f>
        <v>0.33507531468543339</v>
      </c>
      <c r="K123" s="2">
        <f ca="1">G123/H123</f>
        <v>0.43794693511553973</v>
      </c>
      <c r="L123" s="2">
        <f ca="1">-Data!$M123*LOG(I123)</f>
        <v>0</v>
      </c>
      <c r="M123" s="2">
        <f ca="1">-Data!$N123*LOG(J123)</f>
        <v>0</v>
      </c>
      <c r="N123" s="2">
        <f ca="1">-Data!$O123*LOG(K123)</f>
        <v>0.35857850863436252</v>
      </c>
      <c r="O123" s="2">
        <f ca="1">SUM(L123:N123)</f>
        <v>0.35857850863436252</v>
      </c>
      <c r="P123" s="2"/>
      <c r="Q123" s="2">
        <f ca="1">(I123-'1'!Z123)*'1'!V123</f>
        <v>-1.3636475432973675E-2</v>
      </c>
      <c r="R123" s="2">
        <f>('1'!$I123-Data!$M123)*'1'!W123</f>
        <v>3.7037037037037021E-2</v>
      </c>
      <c r="S123" s="2">
        <f>('1'!$I123-Data!$M123)*'1'!X123</f>
        <v>7.7212806026365335E-2</v>
      </c>
      <c r="T123" s="2">
        <f>('1'!$I123-Data!$M123)*'1'!Y123</f>
        <v>0.10648148148148147</v>
      </c>
      <c r="U123" s="2">
        <f>('1'!$I123-Data!$M123)</f>
        <v>0.33333333333333331</v>
      </c>
      <c r="V123" s="2">
        <f>('1'!$J123-Data!$N123)*'1'!V123</f>
        <v>4.6296296296296287E-2</v>
      </c>
      <c r="W123" s="2">
        <f>('1'!$J123-Data!$N123)*'1'!W123</f>
        <v>3.7037037037037021E-2</v>
      </c>
      <c r="X123" s="2">
        <f>('1'!$J123-Data!$N123)*'1'!X123</f>
        <v>7.7212806026365335E-2</v>
      </c>
      <c r="Y123" s="2">
        <f>('1'!$J123-Data!$N123)*'1'!Y123</f>
        <v>0.10648148148148147</v>
      </c>
      <c r="Z123" s="2">
        <f>('1'!$J123-Data!$N123)</f>
        <v>0.33333333333333331</v>
      </c>
      <c r="AA123" s="2">
        <f>('1'!$K123-Data!$O123)*'1'!V123</f>
        <v>-9.2592592592592587E-2</v>
      </c>
      <c r="AB123" s="2">
        <f>('1'!$K123-Data!$O123)*'1'!W123</f>
        <v>-7.4074074074074056E-2</v>
      </c>
      <c r="AC123" s="2">
        <f>('1'!$K123-Data!$O123)*'1'!X123</f>
        <v>-0.1544256120527307</v>
      </c>
      <c r="AD123" s="2">
        <f>('1'!$K123-Data!$O123)*'1'!Y123</f>
        <v>-0.21296296296296297</v>
      </c>
      <c r="AE123" s="2">
        <f>('1'!$K123-Data!$O123)</f>
        <v>-0.66666666666666674</v>
      </c>
    </row>
    <row r="124" spans="2:31" x14ac:dyDescent="0.25">
      <c r="B124" s="2">
        <f ca="1">B$2*Data!$I124+B$3*Data!$J124+B$4*Data!$K124+B$5*Data!$L124+B$6</f>
        <v>1.8916228662829673E-2</v>
      </c>
      <c r="C124" s="2">
        <f ca="1">C$2*Data!$I124+C$3*Data!$J124+C$4*Data!$K124+C$5*Data!$L124+C$6</f>
        <v>0.40608715057224204</v>
      </c>
      <c r="D124" s="2">
        <f ca="1">D$2*Data!$I124+D$3*Data!$J124+D$4*Data!$K124+D$5*Data!$L124+D$6</f>
        <v>0.69364068856153926</v>
      </c>
      <c r="E124" s="2">
        <f ca="1">EXP(B124)</f>
        <v>1.0190962739839073</v>
      </c>
      <c r="F124" s="2">
        <f ca="1">EXP(C124)</f>
        <v>1.5009333539589189</v>
      </c>
      <c r="G124" s="2">
        <f ca="1">EXP(D124)</f>
        <v>2.0009872595934053</v>
      </c>
      <c r="H124" s="2">
        <f ca="1">SUM(E124:G124)</f>
        <v>4.5210168875362315</v>
      </c>
      <c r="I124" s="2">
        <f ca="1">E124/'1'!$H124</f>
        <v>0.23396648135961551</v>
      </c>
      <c r="J124" s="2">
        <f ca="1">F124/H124</f>
        <v>0.33199021178106369</v>
      </c>
      <c r="K124" s="2">
        <f ca="1">G124/H124</f>
        <v>0.44259672311993092</v>
      </c>
      <c r="L124" s="2">
        <f ca="1">-Data!$M124*LOG(I124)</f>
        <v>0</v>
      </c>
      <c r="M124" s="2">
        <f ca="1">-Data!$N124*LOG(J124)</f>
        <v>0</v>
      </c>
      <c r="N124" s="2">
        <f ca="1">-Data!$O124*LOG(K124)</f>
        <v>0.35399180580912259</v>
      </c>
      <c r="O124" s="2">
        <f ca="1">SUM(L124:N124)</f>
        <v>0.35399180580912259</v>
      </c>
      <c r="P124" s="2"/>
      <c r="Q124" s="2">
        <f ca="1">(I124-'1'!Z124)*'1'!V124</f>
        <v>-1.9321332328222907E-2</v>
      </c>
      <c r="R124" s="2">
        <f>('1'!$I124-Data!$M124)*'1'!W124</f>
        <v>5.5555555555555552E-2</v>
      </c>
      <c r="S124" s="2">
        <f>('1'!$I124-Data!$M124)*'1'!X124</f>
        <v>8.0979284369114862E-2</v>
      </c>
      <c r="T124" s="2">
        <f>('1'!$I124-Data!$M124)*'1'!Y124</f>
        <v>0.10185185185185183</v>
      </c>
      <c r="U124" s="2">
        <f>('1'!$I124-Data!$M124)</f>
        <v>0.33333333333333331</v>
      </c>
      <c r="V124" s="2">
        <f>('1'!$J124-Data!$N124)*'1'!V124</f>
        <v>6.4814814814814811E-2</v>
      </c>
      <c r="W124" s="2">
        <f>('1'!$J124-Data!$N124)*'1'!W124</f>
        <v>5.5555555555555552E-2</v>
      </c>
      <c r="X124" s="2">
        <f>('1'!$J124-Data!$N124)*'1'!X124</f>
        <v>8.0979284369114862E-2</v>
      </c>
      <c r="Y124" s="2">
        <f>('1'!$J124-Data!$N124)*'1'!Y124</f>
        <v>0.10185185185185183</v>
      </c>
      <c r="Z124" s="2">
        <f>('1'!$J124-Data!$N124)</f>
        <v>0.33333333333333331</v>
      </c>
      <c r="AA124" s="2">
        <f>('1'!$K124-Data!$O124)*'1'!V124</f>
        <v>-0.12962962962962965</v>
      </c>
      <c r="AB124" s="2">
        <f>('1'!$K124-Data!$O124)*'1'!W124</f>
        <v>-0.11111111111111112</v>
      </c>
      <c r="AC124" s="2">
        <f>('1'!$K124-Data!$O124)*'1'!X124</f>
        <v>-0.16195856873822975</v>
      </c>
      <c r="AD124" s="2">
        <f>('1'!$K124-Data!$O124)*'1'!Y124</f>
        <v>-0.20370370370370369</v>
      </c>
      <c r="AE124" s="2">
        <f>('1'!$K124-Data!$O124)</f>
        <v>-0.66666666666666674</v>
      </c>
    </row>
    <row r="125" spans="2:31" x14ac:dyDescent="0.25">
      <c r="B125" s="2">
        <f ca="1">B$2*Data!$I125+B$3*Data!$J125+B$4*Data!$K125+B$5*Data!$L125+B$6</f>
        <v>2.1210482862287522E-2</v>
      </c>
      <c r="C125" s="2">
        <f ca="1">C$2*Data!$I125+C$3*Data!$J125+C$4*Data!$K125+C$5*Data!$L125+C$6</f>
        <v>0.38428973684156059</v>
      </c>
      <c r="D125" s="2">
        <f ca="1">D$2*Data!$I125+D$3*Data!$J125+D$4*Data!$K125+D$5*Data!$L125+D$6</f>
        <v>0.64414667295151995</v>
      </c>
      <c r="E125" s="2">
        <f ca="1">EXP(B125)</f>
        <v>1.0214370240011941</v>
      </c>
      <c r="F125" s="2">
        <f ca="1">EXP(C125)</f>
        <v>1.4685708791346896</v>
      </c>
      <c r="G125" s="2">
        <f ca="1">EXP(D125)</f>
        <v>1.9043612927269273</v>
      </c>
      <c r="H125" s="2">
        <f ca="1">SUM(E125:G125)</f>
        <v>4.3943691958628115</v>
      </c>
      <c r="I125" s="2">
        <f ca="1">E125/'1'!$H125</f>
        <v>0.23995974392433508</v>
      </c>
      <c r="J125" s="2">
        <f ca="1">F125/H125</f>
        <v>0.33419378611094225</v>
      </c>
      <c r="K125" s="2">
        <f ca="1">G125/H125</f>
        <v>0.43336397281317096</v>
      </c>
      <c r="L125" s="2">
        <f ca="1">-Data!$M125*LOG(I125)</f>
        <v>0</v>
      </c>
      <c r="M125" s="2">
        <f ca="1">-Data!$N125*LOG(J125)</f>
        <v>0</v>
      </c>
      <c r="N125" s="2">
        <f ca="1">-Data!$O125*LOG(K125)</f>
        <v>0.3631471960591009</v>
      </c>
      <c r="O125" s="2">
        <f ca="1">SUM(L125:N125)</f>
        <v>0.3631471960591009</v>
      </c>
      <c r="P125" s="2"/>
      <c r="Q125" s="2">
        <f ca="1">(I125-'1'!Z125)*'1'!V125</f>
        <v>-1.9020545990721859E-2</v>
      </c>
      <c r="R125" s="2">
        <f>('1'!$I125-Data!$M125)*'1'!W125</f>
        <v>4.6296296296296287E-2</v>
      </c>
      <c r="S125" s="2">
        <f>('1'!$I125-Data!$M125)*'1'!X125</f>
        <v>8.4745762711864403E-2</v>
      </c>
      <c r="T125" s="2">
        <f>('1'!$I125-Data!$M125)*'1'!Y125</f>
        <v>7.8703703703703692E-2</v>
      </c>
      <c r="U125" s="2">
        <f>('1'!$I125-Data!$M125)</f>
        <v>0.33333333333333331</v>
      </c>
      <c r="V125" s="2">
        <f>('1'!$J125-Data!$N125)*'1'!V125</f>
        <v>6.7901234567901217E-2</v>
      </c>
      <c r="W125" s="2">
        <f>('1'!$J125-Data!$N125)*'1'!W125</f>
        <v>4.6296296296296287E-2</v>
      </c>
      <c r="X125" s="2">
        <f>('1'!$J125-Data!$N125)*'1'!X125</f>
        <v>8.4745762711864403E-2</v>
      </c>
      <c r="Y125" s="2">
        <f>('1'!$J125-Data!$N125)*'1'!Y125</f>
        <v>7.8703703703703692E-2</v>
      </c>
      <c r="Z125" s="2">
        <f>('1'!$J125-Data!$N125)</f>
        <v>0.33333333333333331</v>
      </c>
      <c r="AA125" s="2">
        <f>('1'!$K125-Data!$O125)*'1'!V125</f>
        <v>-0.13580246913580246</v>
      </c>
      <c r="AB125" s="2">
        <f>('1'!$K125-Data!$O125)*'1'!W125</f>
        <v>-9.2592592592592587E-2</v>
      </c>
      <c r="AC125" s="2">
        <f>('1'!$K125-Data!$O125)*'1'!X125</f>
        <v>-0.16949152542372883</v>
      </c>
      <c r="AD125" s="2">
        <f>('1'!$K125-Data!$O125)*'1'!Y125</f>
        <v>-0.15740740740740741</v>
      </c>
      <c r="AE125" s="2">
        <f>('1'!$K125-Data!$O125)</f>
        <v>-0.66666666666666674</v>
      </c>
    </row>
    <row r="126" spans="2:31" x14ac:dyDescent="0.25">
      <c r="B126" s="2">
        <f ca="1">B$2*Data!$I126+B$3*Data!$J126+B$4*Data!$K126+B$5*Data!$L126+B$6</f>
        <v>3.8695143861503647E-2</v>
      </c>
      <c r="C126" s="2">
        <f ca="1">C$2*Data!$I126+C$3*Data!$J126+C$4*Data!$K126+C$5*Data!$L126+C$6</f>
        <v>0.48559244581549671</v>
      </c>
      <c r="D126" s="2">
        <f ca="1">D$2*Data!$I126+D$3*Data!$J126+D$4*Data!$K126+D$5*Data!$L126+D$6</f>
        <v>0.83637625213091005</v>
      </c>
      <c r="E126" s="2">
        <f ca="1">EXP(B126)</f>
        <v>1.0394535515473928</v>
      </c>
      <c r="F126" s="2">
        <f ca="1">EXP(C126)</f>
        <v>1.6251375296244046</v>
      </c>
      <c r="G126" s="2">
        <f ca="1">EXP(D126)</f>
        <v>2.3079882372734857</v>
      </c>
      <c r="H126" s="2">
        <f ca="1">SUM(E126:G126)</f>
        <v>4.9725793184452831</v>
      </c>
      <c r="I126" s="2">
        <f ca="1">E126/'1'!$H126</f>
        <v>0.22014436159872686</v>
      </c>
      <c r="J126" s="2">
        <f ca="1">F126/H126</f>
        <v>0.32681983042404578</v>
      </c>
      <c r="K126" s="2">
        <f ca="1">G126/H126</f>
        <v>0.46414307132562677</v>
      </c>
      <c r="L126" s="2">
        <f ca="1">-Data!$M126*LOG(I126)</f>
        <v>0</v>
      </c>
      <c r="M126" s="2">
        <f ca="1">-Data!$N126*LOG(J126)</f>
        <v>0</v>
      </c>
      <c r="N126" s="2">
        <f ca="1">-Data!$O126*LOG(K126)</f>
        <v>0.33334812826034371</v>
      </c>
      <c r="O126" s="2">
        <f ca="1">SUM(L126:N126)</f>
        <v>0.33334812826034371</v>
      </c>
      <c r="P126" s="2"/>
      <c r="Q126" s="2">
        <f ca="1">(I126-'1'!Z126)*'1'!V126</f>
        <v>-3.5633565175709432E-2</v>
      </c>
      <c r="R126" s="2">
        <f>('1'!$I126-Data!$M126)*'1'!W126</f>
        <v>8.3333333333333301E-2</v>
      </c>
      <c r="S126" s="2">
        <f>('1'!$I126-Data!$M126)*'1'!X126</f>
        <v>0.10734463276836156</v>
      </c>
      <c r="T126" s="2">
        <f>('1'!$I126-Data!$M126)*'1'!Y126</f>
        <v>9.7222222222222224E-2</v>
      </c>
      <c r="U126" s="2">
        <f>('1'!$I126-Data!$M126)</f>
        <v>0.33333333333333331</v>
      </c>
      <c r="V126" s="2">
        <f>('1'!$J126-Data!$N126)*'1'!V126</f>
        <v>0.10493827160493825</v>
      </c>
      <c r="W126" s="2">
        <f>('1'!$J126-Data!$N126)*'1'!W126</f>
        <v>8.3333333333333301E-2</v>
      </c>
      <c r="X126" s="2">
        <f>('1'!$J126-Data!$N126)*'1'!X126</f>
        <v>0.10734463276836156</v>
      </c>
      <c r="Y126" s="2">
        <f>('1'!$J126-Data!$N126)*'1'!Y126</f>
        <v>9.7222222222222224E-2</v>
      </c>
      <c r="Z126" s="2">
        <f>('1'!$J126-Data!$N126)</f>
        <v>0.33333333333333331</v>
      </c>
      <c r="AA126" s="2">
        <f>('1'!$K126-Data!$O126)*'1'!V126</f>
        <v>-0.20987654320987653</v>
      </c>
      <c r="AB126" s="2">
        <f>('1'!$K126-Data!$O126)*'1'!W126</f>
        <v>-0.16666666666666663</v>
      </c>
      <c r="AC126" s="2">
        <f>('1'!$K126-Data!$O126)*'1'!X126</f>
        <v>-0.21468926553672318</v>
      </c>
      <c r="AD126" s="2">
        <f>('1'!$K126-Data!$O126)*'1'!Y126</f>
        <v>-0.19444444444444448</v>
      </c>
      <c r="AE126" s="2">
        <f>('1'!$K126-Data!$O126)</f>
        <v>-0.66666666666666674</v>
      </c>
    </row>
    <row r="127" spans="2:31" x14ac:dyDescent="0.25">
      <c r="B127" s="2">
        <f ca="1">B$2*Data!$I127+B$3*Data!$J127+B$4*Data!$K127+B$5*Data!$L127+B$6</f>
        <v>-5.6544038153030163E-2</v>
      </c>
      <c r="C127" s="2">
        <f ca="1">C$2*Data!$I127+C$3*Data!$J127+C$4*Data!$K127+C$5*Data!$L127+C$6</f>
        <v>0.4752777995745272</v>
      </c>
      <c r="D127" s="2">
        <f ca="1">D$2*Data!$I127+D$3*Data!$J127+D$4*Data!$K127+D$5*Data!$L127+D$6</f>
        <v>0.81459957191183718</v>
      </c>
      <c r="E127" s="2">
        <f ca="1">EXP(B127)</f>
        <v>0.94502486642907702</v>
      </c>
      <c r="F127" s="2">
        <f ca="1">EXP(C127)</f>
        <v>1.6084609651987452</v>
      </c>
      <c r="G127" s="2">
        <f ca="1">EXP(D127)</f>
        <v>2.258271216051337</v>
      </c>
      <c r="H127" s="2">
        <f ca="1">SUM(E127:G127)</f>
        <v>4.8117570476791585</v>
      </c>
      <c r="I127" s="2">
        <f ca="1">E127/'1'!$H127</f>
        <v>0.20882317496265815</v>
      </c>
      <c r="J127" s="2">
        <f ca="1">F127/H127</f>
        <v>0.3342772607304747</v>
      </c>
      <c r="K127" s="2">
        <f ca="1">G127/H127</f>
        <v>0.46932361581733695</v>
      </c>
      <c r="L127" s="2">
        <f ca="1">-Data!$M127*LOG(I127)</f>
        <v>0</v>
      </c>
      <c r="M127" s="2">
        <f ca="1">-Data!$N127*LOG(J127)</f>
        <v>0</v>
      </c>
      <c r="N127" s="2">
        <f ca="1">-Data!$O127*LOG(K127)</f>
        <v>0.32852759204552739</v>
      </c>
      <c r="O127" s="2">
        <f ca="1">SUM(L127:N127)</f>
        <v>0.32852759204552739</v>
      </c>
      <c r="P127" s="2"/>
      <c r="Q127" s="2">
        <f ca="1">(I127-'1'!Z127)*'1'!V127</f>
        <v>-3.9197642450027388E-2</v>
      </c>
      <c r="R127" s="2">
        <f>('1'!$I127-Data!$M127)*'1'!W127</f>
        <v>2.7777777777777783E-2</v>
      </c>
      <c r="S127" s="2">
        <f>('1'!$I127-Data!$M127)*'1'!X127</f>
        <v>0.11111111111111113</v>
      </c>
      <c r="T127" s="2">
        <f>('1'!$I127-Data!$M127)*'1'!Y127</f>
        <v>0.10185185185185187</v>
      </c>
      <c r="U127" s="2">
        <f>('1'!$I127-Data!$M127)</f>
        <v>0.33333333333333337</v>
      </c>
      <c r="V127" s="2">
        <f>('1'!$J127-Data!$N127)*'1'!V127</f>
        <v>0.10493827160493829</v>
      </c>
      <c r="W127" s="2">
        <f>('1'!$J127-Data!$N127)*'1'!W127</f>
        <v>2.7777777777777783E-2</v>
      </c>
      <c r="X127" s="2">
        <f>('1'!$J127-Data!$N127)*'1'!X127</f>
        <v>0.11111111111111113</v>
      </c>
      <c r="Y127" s="2">
        <f>('1'!$J127-Data!$N127)*'1'!Y127</f>
        <v>0.10185185185185187</v>
      </c>
      <c r="Z127" s="2">
        <f>('1'!$J127-Data!$N127)</f>
        <v>0.33333333333333337</v>
      </c>
      <c r="AA127" s="2">
        <f>('1'!$K127-Data!$O127)*'1'!V127</f>
        <v>-0.20987654320987653</v>
      </c>
      <c r="AB127" s="2">
        <f>('1'!$K127-Data!$O127)*'1'!W127</f>
        <v>-5.5555555555555559E-2</v>
      </c>
      <c r="AC127" s="2">
        <f>('1'!$K127-Data!$O127)*'1'!X127</f>
        <v>-0.22222222222222224</v>
      </c>
      <c r="AD127" s="2">
        <f>('1'!$K127-Data!$O127)*'1'!Y127</f>
        <v>-0.20370370370370372</v>
      </c>
      <c r="AE127" s="2">
        <f>('1'!$K127-Data!$O127)</f>
        <v>-0.66666666666666663</v>
      </c>
    </row>
    <row r="128" spans="2:31" x14ac:dyDescent="0.25">
      <c r="B128" s="2">
        <f ca="1">B$2*Data!$I128+B$3*Data!$J128+B$4*Data!$K128+B$5*Data!$L128+B$6</f>
        <v>-1.4770780208373496E-2</v>
      </c>
      <c r="C128" s="2">
        <f ca="1">C$2*Data!$I128+C$3*Data!$J128+C$4*Data!$K128+C$5*Data!$L128+C$6</f>
        <v>0.32711113896661809</v>
      </c>
      <c r="D128" s="2">
        <f ca="1">D$2*Data!$I128+D$3*Data!$J128+D$4*Data!$K128+D$5*Data!$L128+D$6</f>
        <v>0.53271613841689758</v>
      </c>
      <c r="E128" s="2">
        <f ca="1">EXP(B128)</f>
        <v>0.98533777263829914</v>
      </c>
      <c r="F128" s="2">
        <f ca="1">EXP(C128)</f>
        <v>1.3869556134284935</v>
      </c>
      <c r="G128" s="2">
        <f ca="1">EXP(D128)</f>
        <v>1.7035531164657551</v>
      </c>
      <c r="H128" s="2">
        <f ca="1">SUM(E128:G128)</f>
        <v>4.0758465025325474</v>
      </c>
      <c r="I128" s="2">
        <f ca="1">E128/'1'!$H128</f>
        <v>0.24781604355032189</v>
      </c>
      <c r="J128" s="2">
        <f ca="1">F128/H128</f>
        <v>0.34028651779862212</v>
      </c>
      <c r="K128" s="2">
        <f ca="1">G128/H128</f>
        <v>0.41796302078776615</v>
      </c>
      <c r="L128" s="2">
        <f ca="1">-Data!$M128*LOG(I128)</f>
        <v>0</v>
      </c>
      <c r="M128" s="2">
        <f ca="1">-Data!$N128*LOG(J128)</f>
        <v>0</v>
      </c>
      <c r="N128" s="2">
        <f ca="1">-Data!$O128*LOG(K128)</f>
        <v>0.37886214066095636</v>
      </c>
      <c r="O128" s="2">
        <f ca="1">SUM(L128:N128)</f>
        <v>0.37886214066095636</v>
      </c>
      <c r="P128" s="2"/>
      <c r="Q128" s="2">
        <f ca="1">(I128-'1'!Z128)*'1'!V128</f>
        <v>-1.3461054873251797E-2</v>
      </c>
      <c r="R128" s="2">
        <f>('1'!$I128-Data!$M128)*'1'!W128</f>
        <v>9.2592592592592657E-3</v>
      </c>
      <c r="S128" s="2">
        <f>('1'!$I128-Data!$M128)*'1'!X128</f>
        <v>7.5329566854990565E-2</v>
      </c>
      <c r="T128" s="2">
        <f>('1'!$I128-Data!$M128)*'1'!Y128</f>
        <v>6.4814814814814811E-2</v>
      </c>
      <c r="U128" s="2">
        <f>('1'!$I128-Data!$M128)</f>
        <v>0.33333333333333331</v>
      </c>
      <c r="V128" s="2">
        <f>('1'!$J128-Data!$N128)*'1'!V128</f>
        <v>5.2469135802469126E-2</v>
      </c>
      <c r="W128" s="2">
        <f>('1'!$J128-Data!$N128)*'1'!W128</f>
        <v>9.2592592592592657E-3</v>
      </c>
      <c r="X128" s="2">
        <f>('1'!$J128-Data!$N128)*'1'!X128</f>
        <v>7.5329566854990565E-2</v>
      </c>
      <c r="Y128" s="2">
        <f>('1'!$J128-Data!$N128)*'1'!Y128</f>
        <v>6.4814814814814811E-2</v>
      </c>
      <c r="Z128" s="2">
        <f>('1'!$J128-Data!$N128)</f>
        <v>0.33333333333333331</v>
      </c>
      <c r="AA128" s="2">
        <f>('1'!$K128-Data!$O128)*'1'!V128</f>
        <v>-0.10493827160493827</v>
      </c>
      <c r="AB128" s="2">
        <f>('1'!$K128-Data!$O128)*'1'!W128</f>
        <v>-1.8518518518518535E-2</v>
      </c>
      <c r="AC128" s="2">
        <f>('1'!$K128-Data!$O128)*'1'!X128</f>
        <v>-0.15065913370998116</v>
      </c>
      <c r="AD128" s="2">
        <f>('1'!$K128-Data!$O128)*'1'!Y128</f>
        <v>-0.12962962962962965</v>
      </c>
      <c r="AE128" s="2">
        <f>('1'!$K128-Data!$O128)</f>
        <v>-0.66666666666666674</v>
      </c>
    </row>
    <row r="129" spans="2:31" x14ac:dyDescent="0.25">
      <c r="B129" s="2">
        <f ca="1">B$2*Data!$I129+B$3*Data!$J129+B$4*Data!$K129+B$5*Data!$L129+B$6</f>
        <v>1.0248564222239187E-2</v>
      </c>
      <c r="C129" s="2">
        <f ca="1">C$2*Data!$I129+C$3*Data!$J129+C$4*Data!$K129+C$5*Data!$L129+C$6</f>
        <v>0.43142365027137297</v>
      </c>
      <c r="D129" s="2">
        <f ca="1">D$2*Data!$I129+D$3*Data!$J129+D$4*Data!$K129+D$5*Data!$L129+D$6</f>
        <v>0.7389775030205129</v>
      </c>
      <c r="E129" s="2">
        <f ca="1">EXP(B129)</f>
        <v>1.0103012606235142</v>
      </c>
      <c r="F129" s="2">
        <f ca="1">EXP(C129)</f>
        <v>1.5394475992198631</v>
      </c>
      <c r="G129" s="2">
        <f ca="1">EXP(D129)</f>
        <v>2.0937935220386237</v>
      </c>
      <c r="H129" s="2">
        <f ca="1">SUM(E129:G129)</f>
        <v>4.6435423818820007</v>
      </c>
      <c r="I129" s="2">
        <f ca="1">E129/'1'!$H129</f>
        <v>0.22720249054624966</v>
      </c>
      <c r="J129" s="2">
        <f ca="1">F129/H129</f>
        <v>0.33152439939525952</v>
      </c>
      <c r="K129" s="2">
        <f ca="1">G129/H129</f>
        <v>0.45090436348941459</v>
      </c>
      <c r="L129" s="2">
        <f ca="1">-Data!$M129*LOG(I129)</f>
        <v>0</v>
      </c>
      <c r="M129" s="2">
        <f ca="1">-Data!$N129*LOG(J129)</f>
        <v>0</v>
      </c>
      <c r="N129" s="2">
        <f ca="1">-Data!$O129*LOG(K129)</f>
        <v>0.34591556192074091</v>
      </c>
      <c r="O129" s="2">
        <f ca="1">SUM(L129:N129)</f>
        <v>0.34591556192074091</v>
      </c>
      <c r="P129" s="2"/>
      <c r="Q129" s="2">
        <f ca="1">(I129-'1'!Z129)*'1'!V129</f>
        <v>-2.5550017708001617E-2</v>
      </c>
      <c r="R129" s="2">
        <f>('1'!$I129-Data!$M129)*'1'!W129</f>
        <v>5.5555555555555552E-2</v>
      </c>
      <c r="S129" s="2">
        <f>('1'!$I129-Data!$M129)*'1'!X129</f>
        <v>8.851224105461393E-2</v>
      </c>
      <c r="T129" s="2">
        <f>('1'!$I129-Data!$M129)*'1'!Y129</f>
        <v>0.10185185185185183</v>
      </c>
      <c r="U129" s="2">
        <f>('1'!$I129-Data!$M129)</f>
        <v>0.33333333333333331</v>
      </c>
      <c r="V129" s="2">
        <f>('1'!$J129-Data!$N129)*'1'!V129</f>
        <v>8.0246913580246909E-2</v>
      </c>
      <c r="W129" s="2">
        <f>('1'!$J129-Data!$N129)*'1'!W129</f>
        <v>5.5555555555555552E-2</v>
      </c>
      <c r="X129" s="2">
        <f>('1'!$J129-Data!$N129)*'1'!X129</f>
        <v>8.851224105461393E-2</v>
      </c>
      <c r="Y129" s="2">
        <f>('1'!$J129-Data!$N129)*'1'!Y129</f>
        <v>0.10185185185185183</v>
      </c>
      <c r="Z129" s="2">
        <f>('1'!$J129-Data!$N129)</f>
        <v>0.33333333333333331</v>
      </c>
      <c r="AA129" s="2">
        <f>('1'!$K129-Data!$O129)*'1'!V129</f>
        <v>-0.16049382716049385</v>
      </c>
      <c r="AB129" s="2">
        <f>('1'!$K129-Data!$O129)*'1'!W129</f>
        <v>-0.11111111111111112</v>
      </c>
      <c r="AC129" s="2">
        <f>('1'!$K129-Data!$O129)*'1'!X129</f>
        <v>-0.17702448210922789</v>
      </c>
      <c r="AD129" s="2">
        <f>('1'!$K129-Data!$O129)*'1'!Y129</f>
        <v>-0.20370370370370369</v>
      </c>
      <c r="AE129" s="2">
        <f>('1'!$K129-Data!$O129)</f>
        <v>-0.66666666666666674</v>
      </c>
    </row>
    <row r="130" spans="2:31" x14ac:dyDescent="0.25">
      <c r="B130" s="2">
        <f ca="1">B$2*Data!$I130+B$3*Data!$J130+B$4*Data!$K130+B$5*Data!$L130+B$6</f>
        <v>1.1997473350333715E-2</v>
      </c>
      <c r="C130" s="2">
        <f ca="1">C$2*Data!$I130+C$3*Data!$J130+C$4*Data!$K130+C$5*Data!$L130+C$6</f>
        <v>0.34872325889780242</v>
      </c>
      <c r="D130" s="2">
        <f ca="1">D$2*Data!$I130+D$3*Data!$J130+D$4*Data!$K130+D$5*Data!$L130+D$6</f>
        <v>0.58341768583096065</v>
      </c>
      <c r="E130" s="2">
        <f ca="1">EXP(B130)</f>
        <v>1.0120697317171974</v>
      </c>
      <c r="F130" s="2">
        <f ca="1">EXP(C130)</f>
        <v>1.4172569228232976</v>
      </c>
      <c r="G130" s="2">
        <f ca="1">EXP(D130)</f>
        <v>1.7921529918610362</v>
      </c>
      <c r="H130" s="2">
        <f ca="1">SUM(E130:G130)</f>
        <v>4.2214796464015318</v>
      </c>
      <c r="I130" s="2">
        <f ca="1">E130/'1'!$H130</f>
        <v>0.24626979377597996</v>
      </c>
      <c r="J130" s="2">
        <f ca="1">F130/H130</f>
        <v>0.33572515836512296</v>
      </c>
      <c r="K130" s="2">
        <f ca="1">G130/H130</f>
        <v>0.42453195134760413</v>
      </c>
      <c r="L130" s="2">
        <f ca="1">-Data!$M130*LOG(I130)</f>
        <v>0</v>
      </c>
      <c r="M130" s="2">
        <f ca="1">-Data!$N130*LOG(J130)</f>
        <v>0</v>
      </c>
      <c r="N130" s="2">
        <f ca="1">-Data!$O130*LOG(K130)</f>
        <v>0.37208961808962038</v>
      </c>
      <c r="O130" s="2">
        <f ca="1">SUM(L130:N130)</f>
        <v>0.37208961808962038</v>
      </c>
      <c r="P130" s="2"/>
      <c r="Q130" s="2">
        <f ca="1">(I130-'1'!Z130)*'1'!V130</f>
        <v>-1.0479870502274011E-2</v>
      </c>
      <c r="R130" s="2">
        <f>('1'!$I130-Data!$M130)*'1'!W130</f>
        <v>3.7037037037037021E-2</v>
      </c>
      <c r="S130" s="2">
        <f>('1'!$I130-Data!$M130)*'1'!X130</f>
        <v>7.3446327683615809E-2</v>
      </c>
      <c r="T130" s="2">
        <f>('1'!$I130-Data!$M130)*'1'!Y130</f>
        <v>8.7962962962962937E-2</v>
      </c>
      <c r="U130" s="2">
        <f>('1'!$I130-Data!$M130)</f>
        <v>0.33333333333333331</v>
      </c>
      <c r="V130" s="2">
        <f>('1'!$J130-Data!$N130)*'1'!V130</f>
        <v>4.0123456790123441E-2</v>
      </c>
      <c r="W130" s="2">
        <f>('1'!$J130-Data!$N130)*'1'!W130</f>
        <v>3.7037037037037021E-2</v>
      </c>
      <c r="X130" s="2">
        <f>('1'!$J130-Data!$N130)*'1'!X130</f>
        <v>7.3446327683615809E-2</v>
      </c>
      <c r="Y130" s="2">
        <f>('1'!$J130-Data!$N130)*'1'!Y130</f>
        <v>8.7962962962962937E-2</v>
      </c>
      <c r="Z130" s="2">
        <f>('1'!$J130-Data!$N130)</f>
        <v>0.33333333333333331</v>
      </c>
      <c r="AA130" s="2">
        <f>('1'!$K130-Data!$O130)*'1'!V130</f>
        <v>-8.0246913580246895E-2</v>
      </c>
      <c r="AB130" s="2">
        <f>('1'!$K130-Data!$O130)*'1'!W130</f>
        <v>-7.4074074074074056E-2</v>
      </c>
      <c r="AC130" s="2">
        <f>('1'!$K130-Data!$O130)*'1'!X130</f>
        <v>-0.14689265536723164</v>
      </c>
      <c r="AD130" s="2">
        <f>('1'!$K130-Data!$O130)*'1'!Y130</f>
        <v>-0.1759259259259259</v>
      </c>
      <c r="AE130" s="2">
        <f>('1'!$K130-Data!$O130)</f>
        <v>-0.66666666666666674</v>
      </c>
    </row>
    <row r="131" spans="2:31" x14ac:dyDescent="0.25">
      <c r="B131" s="2">
        <f ca="1">B$2*Data!$I131+B$3*Data!$J131+B$4*Data!$K131+B$5*Data!$L131+B$6</f>
        <v>-2.6328004286644419E-2</v>
      </c>
      <c r="C131" s="2">
        <f ca="1">C$2*Data!$I131+C$3*Data!$J131+C$4*Data!$K131+C$5*Data!$L131+C$6</f>
        <v>0.45803457544512632</v>
      </c>
      <c r="D131" s="2">
        <f ca="1">D$2*Data!$I131+D$3*Data!$J131+D$4*Data!$K131+D$5*Data!$L131+D$6</f>
        <v>0.77895727064942855</v>
      </c>
      <c r="E131" s="2">
        <f ca="1">EXP(B131)</f>
        <v>0.9740155559298026</v>
      </c>
      <c r="F131" s="2">
        <f ca="1">EXP(C131)</f>
        <v>1.5809636646388736</v>
      </c>
      <c r="G131" s="2">
        <f ca="1">EXP(D131)</f>
        <v>2.1791987658679002</v>
      </c>
      <c r="H131" s="2">
        <f ca="1">SUM(E131:G131)</f>
        <v>4.7341779864365758</v>
      </c>
      <c r="I131" s="2">
        <f ca="1">E131/'1'!$H131</f>
        <v>0.21686181903958329</v>
      </c>
      <c r="J131" s="2">
        <f ca="1">F131/H131</f>
        <v>0.33394681593474851</v>
      </c>
      <c r="K131" s="2">
        <f ca="1">G131/H131</f>
        <v>0.46031196378997719</v>
      </c>
      <c r="L131" s="2">
        <f ca="1">-Data!$M131*LOG(I131)</f>
        <v>0</v>
      </c>
      <c r="M131" s="2">
        <f ca="1">-Data!$N131*LOG(J131)</f>
        <v>0</v>
      </c>
      <c r="N131" s="2">
        <f ca="1">-Data!$O131*LOG(K131)</f>
        <v>0.33694773737965594</v>
      </c>
      <c r="O131" s="2">
        <f ca="1">SUM(L131:N131)</f>
        <v>0.33694773737965594</v>
      </c>
      <c r="P131" s="2"/>
      <c r="Q131" s="2">
        <f ca="1">(I131-'1'!Z131)*'1'!V131</f>
        <v>-3.6666958203587965E-2</v>
      </c>
      <c r="R131" s="2">
        <f>('1'!$I131-Data!$M131)*'1'!W131</f>
        <v>3.7037037037037021E-2</v>
      </c>
      <c r="S131" s="2">
        <f>('1'!$I131-Data!$M131)*'1'!X131</f>
        <v>0.10734463276836156</v>
      </c>
      <c r="T131" s="2">
        <f>('1'!$I131-Data!$M131)*'1'!Y131</f>
        <v>8.7962962962962937E-2</v>
      </c>
      <c r="U131" s="2">
        <f>('1'!$I131-Data!$M131)</f>
        <v>0.33333333333333331</v>
      </c>
      <c r="V131" s="2">
        <f>('1'!$J131-Data!$N131)*'1'!V131</f>
        <v>0.10493827160493825</v>
      </c>
      <c r="W131" s="2">
        <f>('1'!$J131-Data!$N131)*'1'!W131</f>
        <v>3.7037037037037021E-2</v>
      </c>
      <c r="X131" s="2">
        <f>('1'!$J131-Data!$N131)*'1'!X131</f>
        <v>0.10734463276836156</v>
      </c>
      <c r="Y131" s="2">
        <f>('1'!$J131-Data!$N131)*'1'!Y131</f>
        <v>8.7962962962962937E-2</v>
      </c>
      <c r="Z131" s="2">
        <f>('1'!$J131-Data!$N131)</f>
        <v>0.33333333333333331</v>
      </c>
      <c r="AA131" s="2">
        <f>('1'!$K131-Data!$O131)*'1'!V131</f>
        <v>-0.20987654320987653</v>
      </c>
      <c r="AB131" s="2">
        <f>('1'!$K131-Data!$O131)*'1'!W131</f>
        <v>-7.4074074074074056E-2</v>
      </c>
      <c r="AC131" s="2">
        <f>('1'!$K131-Data!$O131)*'1'!X131</f>
        <v>-0.21468926553672318</v>
      </c>
      <c r="AD131" s="2">
        <f>('1'!$K131-Data!$O131)*'1'!Y131</f>
        <v>-0.1759259259259259</v>
      </c>
      <c r="AE131" s="2">
        <f>('1'!$K131-Data!$O131)</f>
        <v>-0.66666666666666674</v>
      </c>
    </row>
    <row r="132" spans="2:31" x14ac:dyDescent="0.25">
      <c r="B132" s="2">
        <f ca="1">B$2*Data!$I132+B$3*Data!$J132+B$4*Data!$K132+B$5*Data!$L132+B$6</f>
        <v>9.7431009223502285E-3</v>
      </c>
      <c r="C132" s="2">
        <f ca="1">C$2*Data!$I132+C$3*Data!$J132+C$4*Data!$K132+C$5*Data!$L132+C$6</f>
        <v>0.3584249049883374</v>
      </c>
      <c r="D132" s="2">
        <f ca="1">D$2*Data!$I132+D$3*Data!$J132+D$4*Data!$K132+D$5*Data!$L132+D$6</f>
        <v>0.59680374550174264</v>
      </c>
      <c r="E132" s="2">
        <f ca="1">EXP(B132)</f>
        <v>1.0097907194552194</v>
      </c>
      <c r="F132" s="2">
        <f ca="1">EXP(C132)</f>
        <v>1.431073561607147</v>
      </c>
      <c r="G132" s="2">
        <f ca="1">EXP(D132)</f>
        <v>1.8163041424918658</v>
      </c>
      <c r="H132" s="2">
        <f ca="1">SUM(E132:G132)</f>
        <v>4.2571684235542326</v>
      </c>
      <c r="I132" s="2">
        <f ca="1">E132/'1'!$H132</f>
        <v>0.24401479062352308</v>
      </c>
      <c r="J132" s="2">
        <f ca="1">F132/H132</f>
        <v>0.33615620037235211</v>
      </c>
      <c r="K132" s="2">
        <f ca="1">G132/H132</f>
        <v>0.42664606183832077</v>
      </c>
      <c r="L132" s="2">
        <f ca="1">-Data!$M132*LOG(I132)</f>
        <v>0</v>
      </c>
      <c r="M132" s="2">
        <f ca="1">-Data!$N132*LOG(J132)</f>
        <v>0</v>
      </c>
      <c r="N132" s="2">
        <f ca="1">-Data!$O132*LOG(K132)</f>
        <v>0.36993225877335506</v>
      </c>
      <c r="O132" s="2">
        <f ca="1">SUM(L132:N132)</f>
        <v>0.36993225877335506</v>
      </c>
      <c r="P132" s="2"/>
      <c r="Q132" s="2">
        <f ca="1">(I132-'1'!Z132)*'1'!V132</f>
        <v>-1.6540470872187078E-2</v>
      </c>
      <c r="R132" s="2">
        <f>('1'!$I132-Data!$M132)*'1'!W132</f>
        <v>3.2407407407407406E-2</v>
      </c>
      <c r="S132" s="2">
        <f>('1'!$I132-Data!$M132)*'1'!X132</f>
        <v>7.3446327683615809E-2</v>
      </c>
      <c r="T132" s="2">
        <f>('1'!$I132-Data!$M132)*'1'!Y132</f>
        <v>7.8703703703703692E-2</v>
      </c>
      <c r="U132" s="2">
        <f>('1'!$I132-Data!$M132)</f>
        <v>0.33333333333333331</v>
      </c>
      <c r="V132" s="2">
        <f>('1'!$J132-Data!$N132)*'1'!V132</f>
        <v>6.1728395061728378E-2</v>
      </c>
      <c r="W132" s="2">
        <f>('1'!$J132-Data!$N132)*'1'!W132</f>
        <v>3.2407407407407406E-2</v>
      </c>
      <c r="X132" s="2">
        <f>('1'!$J132-Data!$N132)*'1'!X132</f>
        <v>7.3446327683615809E-2</v>
      </c>
      <c r="Y132" s="2">
        <f>('1'!$J132-Data!$N132)*'1'!Y132</f>
        <v>7.8703703703703692E-2</v>
      </c>
      <c r="Z132" s="2">
        <f>('1'!$J132-Data!$N132)</f>
        <v>0.33333333333333331</v>
      </c>
      <c r="AA132" s="2">
        <f>('1'!$K132-Data!$O132)*'1'!V132</f>
        <v>-0.12345679012345678</v>
      </c>
      <c r="AB132" s="2">
        <f>('1'!$K132-Data!$O132)*'1'!W132</f>
        <v>-6.4814814814814825E-2</v>
      </c>
      <c r="AC132" s="2">
        <f>('1'!$K132-Data!$O132)*'1'!X132</f>
        <v>-0.14689265536723164</v>
      </c>
      <c r="AD132" s="2">
        <f>('1'!$K132-Data!$O132)*'1'!Y132</f>
        <v>-0.15740740740740741</v>
      </c>
      <c r="AE132" s="2">
        <f>('1'!$K132-Data!$O132)</f>
        <v>-0.66666666666666674</v>
      </c>
    </row>
    <row r="133" spans="2:31" x14ac:dyDescent="0.25">
      <c r="B133" s="2">
        <f ca="1">B$2*Data!$I133+B$3*Data!$J133+B$4*Data!$K133+B$5*Data!$L133+B$6</f>
        <v>2.6721043646107459E-2</v>
      </c>
      <c r="C133" s="2">
        <f ca="1">C$2*Data!$I133+C$3*Data!$J133+C$4*Data!$K133+C$5*Data!$L133+C$6</f>
        <v>0.41631048154709316</v>
      </c>
      <c r="D133" s="2">
        <f ca="1">D$2*Data!$I133+D$3*Data!$J133+D$4*Data!$K133+D$5*Data!$L133+D$6</f>
        <v>0.70845152565425784</v>
      </c>
      <c r="E133" s="2">
        <f ca="1">EXP(B133)</f>
        <v>1.0270812519565662</v>
      </c>
      <c r="F133" s="2">
        <f ca="1">EXP(C133)</f>
        <v>1.5163565965326975</v>
      </c>
      <c r="G133" s="2">
        <f ca="1">EXP(D133)</f>
        <v>2.0308441126295524</v>
      </c>
      <c r="H133" s="2">
        <f ca="1">SUM(E133:G133)</f>
        <v>4.5742819611188157</v>
      </c>
      <c r="I133" s="2">
        <f ca="1">E133/'1'!$H133</f>
        <v>0.23323262599848049</v>
      </c>
      <c r="J133" s="2">
        <f ca="1">F133/H133</f>
        <v>0.33149609259369189</v>
      </c>
      <c r="K133" s="2">
        <f ca="1">G133/H133</f>
        <v>0.44397003286890341</v>
      </c>
      <c r="L133" s="2">
        <f ca="1">-Data!$M133*LOG(I133)</f>
        <v>0</v>
      </c>
      <c r="M133" s="2">
        <f ca="1">-Data!$N133*LOG(J133)</f>
        <v>0</v>
      </c>
      <c r="N133" s="2">
        <f ca="1">-Data!$O133*LOG(K133)</f>
        <v>0.3526463429459496</v>
      </c>
      <c r="O133" s="2">
        <f ca="1">SUM(L133:N133)</f>
        <v>0.3526463429459496</v>
      </c>
      <c r="P133" s="2"/>
      <c r="Q133" s="2">
        <f ca="1">(I133-'1'!Z133)*'1'!V133</f>
        <v>-2.2244601629967293E-2</v>
      </c>
      <c r="R133" s="2">
        <f>('1'!$I133-Data!$M133)*'1'!W133</f>
        <v>6.0185185185185161E-2</v>
      </c>
      <c r="S133" s="2">
        <f>('1'!$I133-Data!$M133)*'1'!X133</f>
        <v>8.851224105461393E-2</v>
      </c>
      <c r="T133" s="2">
        <f>('1'!$I133-Data!$M133)*'1'!Y133</f>
        <v>9.2592592592592587E-2</v>
      </c>
      <c r="U133" s="2">
        <f>('1'!$I133-Data!$M133)</f>
        <v>0.33333333333333331</v>
      </c>
      <c r="V133" s="2">
        <f>('1'!$J133-Data!$N133)*'1'!V133</f>
        <v>7.407407407407407E-2</v>
      </c>
      <c r="W133" s="2">
        <f>('1'!$J133-Data!$N133)*'1'!W133</f>
        <v>6.0185185185185161E-2</v>
      </c>
      <c r="X133" s="2">
        <f>('1'!$J133-Data!$N133)*'1'!X133</f>
        <v>8.851224105461393E-2</v>
      </c>
      <c r="Y133" s="2">
        <f>('1'!$J133-Data!$N133)*'1'!Y133</f>
        <v>9.2592592592592587E-2</v>
      </c>
      <c r="Z133" s="2">
        <f>('1'!$J133-Data!$N133)</f>
        <v>0.33333333333333331</v>
      </c>
      <c r="AA133" s="2">
        <f>('1'!$K133-Data!$O133)*'1'!V133</f>
        <v>-0.14814814814814817</v>
      </c>
      <c r="AB133" s="2">
        <f>('1'!$K133-Data!$O133)*'1'!W133</f>
        <v>-0.12037037037037035</v>
      </c>
      <c r="AC133" s="2">
        <f>('1'!$K133-Data!$O133)*'1'!X133</f>
        <v>-0.17702448210922789</v>
      </c>
      <c r="AD133" s="2">
        <f>('1'!$K133-Data!$O133)*'1'!Y133</f>
        <v>-0.1851851851851852</v>
      </c>
      <c r="AE133" s="2">
        <f>('1'!$K133-Data!$O133)</f>
        <v>-0.66666666666666674</v>
      </c>
    </row>
    <row r="134" spans="2:31" x14ac:dyDescent="0.25">
      <c r="B134" s="2">
        <f ca="1">B$2*Data!$I134+B$3*Data!$J134+B$4*Data!$K134+B$5*Data!$L134+B$6</f>
        <v>2.46891739164877E-2</v>
      </c>
      <c r="C134" s="2">
        <f ca="1">C$2*Data!$I134+C$3*Data!$J134+C$4*Data!$K134+C$5*Data!$L134+C$6</f>
        <v>0.42171460529263477</v>
      </c>
      <c r="D134" s="2">
        <f ca="1">D$2*Data!$I134+D$3*Data!$J134+D$4*Data!$K134+D$5*Data!$L134+D$6</f>
        <v>0.71200017559313822</v>
      </c>
      <c r="E134" s="2">
        <f ca="1">EXP(B134)</f>
        <v>1.0249964753653291</v>
      </c>
      <c r="F134" s="2">
        <f ca="1">EXP(C134)</f>
        <v>1.5245733574218183</v>
      </c>
      <c r="G134" s="2">
        <f ca="1">EXP(D134)</f>
        <v>2.0380636697298704</v>
      </c>
      <c r="H134" s="2">
        <f ca="1">SUM(E134:G134)</f>
        <v>4.5876335025170185</v>
      </c>
      <c r="I134" s="2">
        <f ca="1">E134/'1'!$H134</f>
        <v>0.23222285967475154</v>
      </c>
      <c r="J134" s="2">
        <f ca="1">F134/H134</f>
        <v>0.33232239597721935</v>
      </c>
      <c r="K134" s="2">
        <f ca="1">G134/H134</f>
        <v>0.44425163182971805</v>
      </c>
      <c r="L134" s="2">
        <f ca="1">-Data!$M134*LOG(I134)</f>
        <v>0</v>
      </c>
      <c r="M134" s="2">
        <f ca="1">-Data!$N134*LOG(J134)</f>
        <v>0</v>
      </c>
      <c r="N134" s="2">
        <f ca="1">-Data!$O134*LOG(K134)</f>
        <v>0.3523709682647197</v>
      </c>
      <c r="O134" s="2">
        <f ca="1">SUM(L134:N134)</f>
        <v>0.3523709682647197</v>
      </c>
      <c r="P134" s="2"/>
      <c r="Q134" s="2">
        <f ca="1">(I134-'1'!Z134)*'1'!V134</f>
        <v>-2.7150034593508066E-2</v>
      </c>
      <c r="R134" s="2">
        <f>('1'!$I134-Data!$M134)*'1'!W134</f>
        <v>5.5555555555555552E-2</v>
      </c>
      <c r="S134" s="2">
        <f>('1'!$I134-Data!$M134)*'1'!X134</f>
        <v>9.4161958568738213E-2</v>
      </c>
      <c r="T134" s="2">
        <f>('1'!$I134-Data!$M134)*'1'!Y134</f>
        <v>7.8703703703703692E-2</v>
      </c>
      <c r="U134" s="2">
        <f>('1'!$I134-Data!$M134)</f>
        <v>0.33333333333333331</v>
      </c>
      <c r="V134" s="2">
        <f>('1'!$J134-Data!$N134)*'1'!V134</f>
        <v>8.9506172839506154E-2</v>
      </c>
      <c r="W134" s="2">
        <f>('1'!$J134-Data!$N134)*'1'!W134</f>
        <v>5.5555555555555552E-2</v>
      </c>
      <c r="X134" s="2">
        <f>('1'!$J134-Data!$N134)*'1'!X134</f>
        <v>9.4161958568738213E-2</v>
      </c>
      <c r="Y134" s="2">
        <f>('1'!$J134-Data!$N134)*'1'!Y134</f>
        <v>7.8703703703703692E-2</v>
      </c>
      <c r="Z134" s="2">
        <f>('1'!$J134-Data!$N134)</f>
        <v>0.33333333333333331</v>
      </c>
      <c r="AA134" s="2">
        <f>('1'!$K134-Data!$O134)*'1'!V134</f>
        <v>-0.17901234567901234</v>
      </c>
      <c r="AB134" s="2">
        <f>('1'!$K134-Data!$O134)*'1'!W134</f>
        <v>-0.11111111111111112</v>
      </c>
      <c r="AC134" s="2">
        <f>('1'!$K134-Data!$O134)*'1'!X134</f>
        <v>-0.18832391713747645</v>
      </c>
      <c r="AD134" s="2">
        <f>('1'!$K134-Data!$O134)*'1'!Y134</f>
        <v>-0.15740740740740741</v>
      </c>
      <c r="AE134" s="2">
        <f>('1'!$K134-Data!$O134)</f>
        <v>-0.66666666666666674</v>
      </c>
    </row>
    <row r="135" spans="2:31" x14ac:dyDescent="0.25">
      <c r="B135" s="2">
        <f ca="1">B$2*Data!$I135+B$3*Data!$J135+B$4*Data!$K135+B$5*Data!$L135+B$6</f>
        <v>1.9123237197106874E-2</v>
      </c>
      <c r="C135" s="2">
        <f ca="1">C$2*Data!$I135+C$3*Data!$J135+C$4*Data!$K135+C$5*Data!$L135+C$6</f>
        <v>0.35457599096890441</v>
      </c>
      <c r="D135" s="2">
        <f ca="1">D$2*Data!$I135+D$3*Data!$J135+D$4*Data!$K135+D$5*Data!$L135+D$6</f>
        <v>0.59035444415037364</v>
      </c>
      <c r="E135" s="2">
        <f ca="1">EXP(B135)</f>
        <v>1.0193072574468074</v>
      </c>
      <c r="F135" s="2">
        <f ca="1">EXP(C135)</f>
        <v>1.4255760689879611</v>
      </c>
      <c r="G135" s="2">
        <f ca="1">EXP(D135)</f>
        <v>1.8046279418705498</v>
      </c>
      <c r="H135" s="2">
        <f ca="1">SUM(E135:G135)</f>
        <v>4.2495112683053184</v>
      </c>
      <c r="I135" s="2">
        <f ca="1">E135/'1'!$H135</f>
        <v>0.24638984156769894</v>
      </c>
      <c r="J135" s="2">
        <f ca="1">F135/H135</f>
        <v>0.33546824069405817</v>
      </c>
      <c r="K135" s="2">
        <f ca="1">G135/H135</f>
        <v>0.42466717415958882</v>
      </c>
      <c r="L135" s="2">
        <f ca="1">-Data!$M135*LOG(I135)</f>
        <v>0</v>
      </c>
      <c r="M135" s="2">
        <f ca="1">-Data!$N135*LOG(J135)</f>
        <v>0</v>
      </c>
      <c r="N135" s="2">
        <f ca="1">-Data!$O135*LOG(K135)</f>
        <v>0.37195130772211105</v>
      </c>
      <c r="O135" s="2">
        <f ca="1">SUM(L135:N135)</f>
        <v>0.37195130772211105</v>
      </c>
      <c r="P135" s="2"/>
      <c r="Q135" s="2">
        <f ca="1">(I135-'1'!Z135)*'1'!V135</f>
        <v>-1.5295614292102343E-2</v>
      </c>
      <c r="R135" s="2">
        <f>('1'!$I135-Data!$M135)*'1'!W135</f>
        <v>3.7037037037037021E-2</v>
      </c>
      <c r="S135" s="2">
        <f>('1'!$I135-Data!$M135)*'1'!X135</f>
        <v>7.1563088512241038E-2</v>
      </c>
      <c r="T135" s="2">
        <f>('1'!$I135-Data!$M135)*'1'!Y135</f>
        <v>7.8703703703703692E-2</v>
      </c>
      <c r="U135" s="2">
        <f>('1'!$I135-Data!$M135)</f>
        <v>0.33333333333333331</v>
      </c>
      <c r="V135" s="2">
        <f>('1'!$J135-Data!$N135)*'1'!V135</f>
        <v>5.8641975308641972E-2</v>
      </c>
      <c r="W135" s="2">
        <f>('1'!$J135-Data!$N135)*'1'!W135</f>
        <v>3.7037037037037021E-2</v>
      </c>
      <c r="X135" s="2">
        <f>('1'!$J135-Data!$N135)*'1'!X135</f>
        <v>7.1563088512241038E-2</v>
      </c>
      <c r="Y135" s="2">
        <f>('1'!$J135-Data!$N135)*'1'!Y135</f>
        <v>7.8703703703703692E-2</v>
      </c>
      <c r="Z135" s="2">
        <f>('1'!$J135-Data!$N135)</f>
        <v>0.33333333333333331</v>
      </c>
      <c r="AA135" s="2">
        <f>('1'!$K135-Data!$O135)*'1'!V135</f>
        <v>-0.11728395061728397</v>
      </c>
      <c r="AB135" s="2">
        <f>('1'!$K135-Data!$O135)*'1'!W135</f>
        <v>-7.4074074074074056E-2</v>
      </c>
      <c r="AC135" s="2">
        <f>('1'!$K135-Data!$O135)*'1'!X135</f>
        <v>-0.1431261770244821</v>
      </c>
      <c r="AD135" s="2">
        <f>('1'!$K135-Data!$O135)*'1'!Y135</f>
        <v>-0.15740740740740741</v>
      </c>
      <c r="AE135" s="2">
        <f>('1'!$K135-Data!$O135)</f>
        <v>-0.66666666666666674</v>
      </c>
    </row>
    <row r="136" spans="2:31" x14ac:dyDescent="0.25">
      <c r="B136" s="2">
        <f ca="1">B$2*Data!$I136+B$3*Data!$J136+B$4*Data!$K136+B$5*Data!$L136+B$6</f>
        <v>3.262761738325555E-2</v>
      </c>
      <c r="C136" s="2">
        <f ca="1">C$2*Data!$I136+C$3*Data!$J136+C$4*Data!$K136+C$5*Data!$L136+C$6</f>
        <v>0.35725849552331679</v>
      </c>
      <c r="D136" s="2">
        <f ca="1">D$2*Data!$I136+D$3*Data!$J136+D$4*Data!$K136+D$5*Data!$L136+D$6</f>
        <v>0.59591897183919118</v>
      </c>
      <c r="E136" s="2">
        <f ca="1">EXP(B136)</f>
        <v>1.0331657346386842</v>
      </c>
      <c r="F136" s="2">
        <f ca="1">EXP(C136)</f>
        <v>1.4294053169770498</v>
      </c>
      <c r="G136" s="2">
        <f ca="1">EXP(D136)</f>
        <v>1.8146978351374143</v>
      </c>
      <c r="H136" s="2">
        <f ca="1">SUM(E136:G136)</f>
        <v>4.2772688867531485</v>
      </c>
      <c r="I136" s="2">
        <f ca="1">E136/'1'!$H136</f>
        <v>0.24793556969196245</v>
      </c>
      <c r="J136" s="2">
        <f ca="1">F136/H136</f>
        <v>0.33418645280963466</v>
      </c>
      <c r="K136" s="2">
        <f ca="1">G136/H136</f>
        <v>0.42426554962621055</v>
      </c>
      <c r="L136" s="2">
        <f ca="1">-Data!$M136*LOG(I136)</f>
        <v>0</v>
      </c>
      <c r="M136" s="2">
        <f ca="1">-Data!$N136*LOG(J136)</f>
        <v>0</v>
      </c>
      <c r="N136" s="2">
        <f ca="1">-Data!$O136*LOG(K136)</f>
        <v>0.37236223152506753</v>
      </c>
      <c r="O136" s="2">
        <f ca="1">SUM(L136:N136)</f>
        <v>0.37236223152506753</v>
      </c>
      <c r="P136" s="2"/>
      <c r="Q136" s="2">
        <f ca="1">(I136-'1'!Z136)*'1'!V136</f>
        <v>-1.4232960606895141E-2</v>
      </c>
      <c r="R136" s="2">
        <f>('1'!$I136-Data!$M136)*'1'!W136</f>
        <v>4.6296296296296287E-2</v>
      </c>
      <c r="S136" s="2">
        <f>('1'!$I136-Data!$M136)*'1'!X136</f>
        <v>7.3446327683615809E-2</v>
      </c>
      <c r="T136" s="2">
        <f>('1'!$I136-Data!$M136)*'1'!Y136</f>
        <v>7.8703703703703692E-2</v>
      </c>
      <c r="U136" s="2">
        <f>('1'!$I136-Data!$M136)</f>
        <v>0.33333333333333331</v>
      </c>
      <c r="V136" s="2">
        <f>('1'!$J136-Data!$N136)*'1'!V136</f>
        <v>5.5555555555555539E-2</v>
      </c>
      <c r="W136" s="2">
        <f>('1'!$J136-Data!$N136)*'1'!W136</f>
        <v>4.6296296296296287E-2</v>
      </c>
      <c r="X136" s="2">
        <f>('1'!$J136-Data!$N136)*'1'!X136</f>
        <v>7.3446327683615809E-2</v>
      </c>
      <c r="Y136" s="2">
        <f>('1'!$J136-Data!$N136)*'1'!Y136</f>
        <v>7.8703703703703692E-2</v>
      </c>
      <c r="Z136" s="2">
        <f>('1'!$J136-Data!$N136)</f>
        <v>0.33333333333333331</v>
      </c>
      <c r="AA136" s="2">
        <f>('1'!$K136-Data!$O136)*'1'!V136</f>
        <v>-0.1111111111111111</v>
      </c>
      <c r="AB136" s="2">
        <f>('1'!$K136-Data!$O136)*'1'!W136</f>
        <v>-9.2592592592592587E-2</v>
      </c>
      <c r="AC136" s="2">
        <f>('1'!$K136-Data!$O136)*'1'!X136</f>
        <v>-0.14689265536723164</v>
      </c>
      <c r="AD136" s="2">
        <f>('1'!$K136-Data!$O136)*'1'!Y136</f>
        <v>-0.15740740740740741</v>
      </c>
      <c r="AE136" s="2">
        <f>('1'!$K136-Data!$O136)</f>
        <v>-0.66666666666666674</v>
      </c>
    </row>
    <row r="137" spans="2:31" x14ac:dyDescent="0.25">
      <c r="B137" s="2">
        <f ca="1">B$2*Data!$I137+B$3*Data!$J137+B$4*Data!$K137+B$5*Data!$L137+B$6</f>
        <v>-6.951803618230501E-3</v>
      </c>
      <c r="C137" s="2">
        <f ca="1">C$2*Data!$I137+C$3*Data!$J137+C$4*Data!$K137+C$5*Data!$L137+C$6</f>
        <v>0.39598265806263966</v>
      </c>
      <c r="D137" s="2">
        <f ca="1">D$2*Data!$I137+D$3*Data!$J137+D$4*Data!$K137+D$5*Data!$L137+D$6</f>
        <v>0.66986745064033748</v>
      </c>
      <c r="E137" s="2">
        <f ca="1">EXP(B137)</f>
        <v>0.99307230427175552</v>
      </c>
      <c r="F137" s="2">
        <f ca="1">EXP(C137)</f>
        <v>1.48584354992219</v>
      </c>
      <c r="G137" s="2">
        <f ca="1">EXP(D137)</f>
        <v>1.953978304897025</v>
      </c>
      <c r="H137" s="2">
        <f ca="1">SUM(E137:G137)</f>
        <v>4.4328941590909707</v>
      </c>
      <c r="I137" s="2">
        <f ca="1">E137/'1'!$H137</f>
        <v>0.23257786798053925</v>
      </c>
      <c r="J137" s="2">
        <f ca="1">F137/H137</f>
        <v>0.33518588457047299</v>
      </c>
      <c r="K137" s="2">
        <f ca="1">G137/H137</f>
        <v>0.44079065160845537</v>
      </c>
      <c r="L137" s="2">
        <f ca="1">-Data!$M137*LOG(I137)</f>
        <v>0</v>
      </c>
      <c r="M137" s="2">
        <f ca="1">-Data!$N137*LOG(J137)</f>
        <v>0</v>
      </c>
      <c r="N137" s="2">
        <f ca="1">-Data!$O137*LOG(K137)</f>
        <v>0.35576762467785583</v>
      </c>
      <c r="O137" s="2">
        <f ca="1">SUM(L137:N137)</f>
        <v>0.35576762467785583</v>
      </c>
      <c r="P137" s="2"/>
      <c r="Q137" s="2">
        <f ca="1">(I137-'1'!Z137)*'1'!V137</f>
        <v>-1.9591340485265511E-2</v>
      </c>
      <c r="R137" s="2">
        <f>('1'!$I137-Data!$M137)*'1'!W137</f>
        <v>3.7037037037037021E-2</v>
      </c>
      <c r="S137" s="2">
        <f>('1'!$I137-Data!$M137)*'1'!X137</f>
        <v>8.6629001883239146E-2</v>
      </c>
      <c r="T137" s="2">
        <f>('1'!$I137-Data!$M137)*'1'!Y137</f>
        <v>9.2592592592592587E-2</v>
      </c>
      <c r="U137" s="2">
        <f>('1'!$I137-Data!$M137)</f>
        <v>0.33333333333333331</v>
      </c>
      <c r="V137" s="2">
        <f>('1'!$J137-Data!$N137)*'1'!V137</f>
        <v>6.4814814814814811E-2</v>
      </c>
      <c r="W137" s="2">
        <f>('1'!$J137-Data!$N137)*'1'!W137</f>
        <v>3.7037037037037021E-2</v>
      </c>
      <c r="X137" s="2">
        <f>('1'!$J137-Data!$N137)*'1'!X137</f>
        <v>8.6629001883239146E-2</v>
      </c>
      <c r="Y137" s="2">
        <f>('1'!$J137-Data!$N137)*'1'!Y137</f>
        <v>9.2592592592592587E-2</v>
      </c>
      <c r="Z137" s="2">
        <f>('1'!$J137-Data!$N137)</f>
        <v>0.33333333333333331</v>
      </c>
      <c r="AA137" s="2">
        <f>('1'!$K137-Data!$O137)*'1'!V137</f>
        <v>-0.12962962962962965</v>
      </c>
      <c r="AB137" s="2">
        <f>('1'!$K137-Data!$O137)*'1'!W137</f>
        <v>-7.4074074074074056E-2</v>
      </c>
      <c r="AC137" s="2">
        <f>('1'!$K137-Data!$O137)*'1'!X137</f>
        <v>-0.17325800376647832</v>
      </c>
      <c r="AD137" s="2">
        <f>('1'!$K137-Data!$O137)*'1'!Y137</f>
        <v>-0.1851851851851852</v>
      </c>
      <c r="AE137" s="2">
        <f>('1'!$K137-Data!$O137)</f>
        <v>-0.66666666666666674</v>
      </c>
    </row>
    <row r="138" spans="2:31" x14ac:dyDescent="0.25">
      <c r="B138" s="2">
        <f ca="1">B$2*Data!$I138+B$3*Data!$J138+B$4*Data!$K138+B$5*Data!$L138+B$6</f>
        <v>2.1479281856947557E-2</v>
      </c>
      <c r="C138" s="2">
        <f ca="1">C$2*Data!$I138+C$3*Data!$J138+C$4*Data!$K138+C$5*Data!$L138+C$6</f>
        <v>0.40293781634841908</v>
      </c>
      <c r="D138" s="2">
        <f ca="1">D$2*Data!$I138+D$3*Data!$J138+D$4*Data!$K138+D$5*Data!$L138+D$6</f>
        <v>0.67381736507147039</v>
      </c>
      <c r="E138" s="2">
        <f ca="1">EXP(B138)</f>
        <v>1.021711622150554</v>
      </c>
      <c r="F138" s="2">
        <f ca="1">EXP(C138)</f>
        <v>1.496213848730078</v>
      </c>
      <c r="G138" s="2">
        <f ca="1">EXP(D138)</f>
        <v>1.9617116149035803</v>
      </c>
      <c r="H138" s="2">
        <f ca="1">SUM(E138:G138)</f>
        <v>4.479637085784212</v>
      </c>
      <c r="I138" s="2">
        <f ca="1">E138/'1'!$H138</f>
        <v>0.23616816568803051</v>
      </c>
      <c r="J138" s="2">
        <f ca="1">F138/H138</f>
        <v>0.3340033623433914</v>
      </c>
      <c r="K138" s="2">
        <f ca="1">G138/H138</f>
        <v>0.43791753156275159</v>
      </c>
      <c r="L138" s="2">
        <f ca="1">-Data!$M138*LOG(I138)</f>
        <v>0</v>
      </c>
      <c r="M138" s="2">
        <f ca="1">-Data!$N138*LOG(J138)</f>
        <v>0</v>
      </c>
      <c r="N138" s="2">
        <f ca="1">-Data!$O138*LOG(K138)</f>
        <v>0.35860766794202903</v>
      </c>
      <c r="O138" s="2">
        <f ca="1">SUM(L138:N138)</f>
        <v>0.35860766794202903</v>
      </c>
      <c r="P138" s="2"/>
      <c r="Q138" s="2">
        <f ca="1">(I138-'1'!Z138)*'1'!V138</f>
        <v>-2.6090646867720196E-2</v>
      </c>
      <c r="R138" s="2">
        <f>('1'!$I138-Data!$M138)*'1'!W138</f>
        <v>4.6296296296296287E-2</v>
      </c>
      <c r="S138" s="2">
        <f>('1'!$I138-Data!$M138)*'1'!X138</f>
        <v>9.0395480225988672E-2</v>
      </c>
      <c r="T138" s="2">
        <f>('1'!$I138-Data!$M138)*'1'!Y138</f>
        <v>6.9444444444444434E-2</v>
      </c>
      <c r="U138" s="2">
        <f>('1'!$I138-Data!$M138)</f>
        <v>0.33333333333333331</v>
      </c>
      <c r="V138" s="2">
        <f>('1'!$J138-Data!$N138)*'1'!V138</f>
        <v>8.9506172839506154E-2</v>
      </c>
      <c r="W138" s="2">
        <f>('1'!$J138-Data!$N138)*'1'!W138</f>
        <v>4.6296296296296287E-2</v>
      </c>
      <c r="X138" s="2">
        <f>('1'!$J138-Data!$N138)*'1'!X138</f>
        <v>9.0395480225988672E-2</v>
      </c>
      <c r="Y138" s="2">
        <f>('1'!$J138-Data!$N138)*'1'!Y138</f>
        <v>6.9444444444444434E-2</v>
      </c>
      <c r="Z138" s="2">
        <f>('1'!$J138-Data!$N138)</f>
        <v>0.33333333333333331</v>
      </c>
      <c r="AA138" s="2">
        <f>('1'!$K138-Data!$O138)*'1'!V138</f>
        <v>-0.17901234567901234</v>
      </c>
      <c r="AB138" s="2">
        <f>('1'!$K138-Data!$O138)*'1'!W138</f>
        <v>-9.2592592592592587E-2</v>
      </c>
      <c r="AC138" s="2">
        <f>('1'!$K138-Data!$O138)*'1'!X138</f>
        <v>-0.18079096045197737</v>
      </c>
      <c r="AD138" s="2">
        <f>('1'!$K138-Data!$O138)*'1'!Y138</f>
        <v>-0.1388888888888889</v>
      </c>
      <c r="AE138" s="2">
        <f>('1'!$K138-Data!$O138)</f>
        <v>-0.66666666666666674</v>
      </c>
    </row>
    <row r="139" spans="2:31" x14ac:dyDescent="0.25">
      <c r="B139" s="2">
        <f ca="1">B$2*Data!$I139+B$3*Data!$J139+B$4*Data!$K139+B$5*Data!$L139+B$6</f>
        <v>-1.1243174292425356E-2</v>
      </c>
      <c r="C139" s="2">
        <f ca="1">C$2*Data!$I139+C$3*Data!$J139+C$4*Data!$K139+C$5*Data!$L139+C$6</f>
        <v>0.42886663145198545</v>
      </c>
      <c r="D139" s="2">
        <f ca="1">D$2*Data!$I139+D$3*Data!$J139+D$4*Data!$K139+D$5*Data!$L139+D$6</f>
        <v>0.72503191007207923</v>
      </c>
      <c r="E139" s="2">
        <f ca="1">EXP(B139)</f>
        <v>0.98881979398295616</v>
      </c>
      <c r="F139" s="2">
        <f ca="1">EXP(C139)</f>
        <v>1.5355162311702943</v>
      </c>
      <c r="G139" s="2">
        <f ca="1">EXP(D139)</f>
        <v>2.064796986735931</v>
      </c>
      <c r="H139" s="2">
        <f ca="1">SUM(E139:G139)</f>
        <v>4.5891330118891815</v>
      </c>
      <c r="I139" s="2">
        <f ca="1">E139/'1'!$H139</f>
        <v>0.22520580963714751</v>
      </c>
      <c r="J139" s="2">
        <f ca="1">F139/H139</f>
        <v>0.3345983276562684</v>
      </c>
      <c r="K139" s="2">
        <f ca="1">G139/H139</f>
        <v>0.4499318240257168</v>
      </c>
      <c r="L139" s="2">
        <f ca="1">-Data!$M139*LOG(I139)</f>
        <v>0</v>
      </c>
      <c r="M139" s="2">
        <f ca="1">-Data!$N139*LOG(J139)</f>
        <v>0</v>
      </c>
      <c r="N139" s="2">
        <f ca="1">-Data!$O139*LOG(K139)</f>
        <v>0.34685328776360796</v>
      </c>
      <c r="O139" s="2">
        <f ca="1">SUM(L139:N139)</f>
        <v>0.34685328776360796</v>
      </c>
      <c r="P139" s="2"/>
      <c r="Q139" s="2">
        <f ca="1">(I139-'1'!Z139)*'1'!V139</f>
        <v>-3.1036604023905186E-2</v>
      </c>
      <c r="R139" s="2">
        <f>('1'!$I139-Data!$M139)*'1'!W139</f>
        <v>3.7037037037037021E-2</v>
      </c>
      <c r="S139" s="2">
        <f>('1'!$I139-Data!$M139)*'1'!X139</f>
        <v>9.604519774011297E-2</v>
      </c>
      <c r="T139" s="2">
        <f>('1'!$I139-Data!$M139)*'1'!Y139</f>
        <v>8.3333333333333329E-2</v>
      </c>
      <c r="U139" s="2">
        <f>('1'!$I139-Data!$M139)</f>
        <v>0.33333333333333331</v>
      </c>
      <c r="V139" s="2">
        <f>('1'!$J139-Data!$N139)*'1'!V139</f>
        <v>9.5679012345679007E-2</v>
      </c>
      <c r="W139" s="2">
        <f>('1'!$J139-Data!$N139)*'1'!W139</f>
        <v>3.7037037037037021E-2</v>
      </c>
      <c r="X139" s="2">
        <f>('1'!$J139-Data!$N139)*'1'!X139</f>
        <v>9.604519774011297E-2</v>
      </c>
      <c r="Y139" s="2">
        <f>('1'!$J139-Data!$N139)*'1'!Y139</f>
        <v>8.3333333333333329E-2</v>
      </c>
      <c r="Z139" s="2">
        <f>('1'!$J139-Data!$N139)</f>
        <v>0.33333333333333331</v>
      </c>
      <c r="AA139" s="2">
        <f>('1'!$K139-Data!$O139)*'1'!V139</f>
        <v>-0.19135802469135804</v>
      </c>
      <c r="AB139" s="2">
        <f>('1'!$K139-Data!$O139)*'1'!W139</f>
        <v>-7.4074074074074056E-2</v>
      </c>
      <c r="AC139" s="2">
        <f>('1'!$K139-Data!$O139)*'1'!X139</f>
        <v>-0.19209039548022597</v>
      </c>
      <c r="AD139" s="2">
        <f>('1'!$K139-Data!$O139)*'1'!Y139</f>
        <v>-0.16666666666666669</v>
      </c>
      <c r="AE139" s="2">
        <f>('1'!$K139-Data!$O139)</f>
        <v>-0.66666666666666674</v>
      </c>
    </row>
    <row r="140" spans="2:31" x14ac:dyDescent="0.25">
      <c r="B140" s="2">
        <f ca="1">B$2*Data!$I140+B$3*Data!$J140+B$4*Data!$K140+B$5*Data!$L140+B$6</f>
        <v>5.0833752274251062E-2</v>
      </c>
      <c r="C140" s="2">
        <f ca="1">C$2*Data!$I140+C$3*Data!$J140+C$4*Data!$K140+C$5*Data!$L140+C$6</f>
        <v>0.47407399593826782</v>
      </c>
      <c r="D140" s="2">
        <f ca="1">D$2*Data!$I140+D$3*Data!$J140+D$4*Data!$K140+D$5*Data!$L140+D$6</f>
        <v>0.81216852297392261</v>
      </c>
      <c r="E140" s="2">
        <f ca="1">EXP(B140)</f>
        <v>1.0521479615368474</v>
      </c>
      <c r="F140" s="2">
        <f ca="1">EXP(C140)</f>
        <v>1.6065258590176734</v>
      </c>
      <c r="G140" s="2">
        <f ca="1">EXP(D140)</f>
        <v>2.252787915995945</v>
      </c>
      <c r="H140" s="2">
        <f ca="1">SUM(E140:G140)</f>
        <v>4.911461736550466</v>
      </c>
      <c r="I140" s="2">
        <f ca="1">E140/'1'!$H140</f>
        <v>0.22459182692965743</v>
      </c>
      <c r="J140" s="2">
        <f ca="1">F140/H140</f>
        <v>0.32709729713704472</v>
      </c>
      <c r="K140" s="2">
        <f ca="1">G140/H140</f>
        <v>0.45867972445575361</v>
      </c>
      <c r="L140" s="2">
        <f ca="1">-Data!$M140*LOG(I140)</f>
        <v>0</v>
      </c>
      <c r="M140" s="2">
        <f ca="1">-Data!$N140*LOG(J140)</f>
        <v>0</v>
      </c>
      <c r="N140" s="2">
        <f ca="1">-Data!$O140*LOG(K140)</f>
        <v>0.33849045705921427</v>
      </c>
      <c r="O140" s="2">
        <f ca="1">SUM(L140:N140)</f>
        <v>0.33849045705921427</v>
      </c>
      <c r="P140" s="2"/>
      <c r="Q140" s="2">
        <f ca="1">(I140-'1'!Z140)*'1'!V140</f>
        <v>-3.6247168801225291E-2</v>
      </c>
      <c r="R140" s="2">
        <f>('1'!$I140-Data!$M140)*'1'!W140</f>
        <v>8.3333333333333301E-2</v>
      </c>
      <c r="S140" s="2">
        <f>('1'!$I140-Data!$M140)*'1'!X140</f>
        <v>0.10169491525423727</v>
      </c>
      <c r="T140" s="2">
        <f>('1'!$I140-Data!$M140)*'1'!Y140</f>
        <v>8.7962962962962937E-2</v>
      </c>
      <c r="U140" s="2">
        <f>('1'!$I140-Data!$M140)</f>
        <v>0.33333333333333331</v>
      </c>
      <c r="V140" s="2">
        <f>('1'!$J140-Data!$N140)*'1'!V140</f>
        <v>0.1111111111111111</v>
      </c>
      <c r="W140" s="2">
        <f>('1'!$J140-Data!$N140)*'1'!W140</f>
        <v>8.3333333333333301E-2</v>
      </c>
      <c r="X140" s="2">
        <f>('1'!$J140-Data!$N140)*'1'!X140</f>
        <v>0.10169491525423727</v>
      </c>
      <c r="Y140" s="2">
        <f>('1'!$J140-Data!$N140)*'1'!Y140</f>
        <v>8.7962962962962937E-2</v>
      </c>
      <c r="Z140" s="2">
        <f>('1'!$J140-Data!$N140)</f>
        <v>0.33333333333333331</v>
      </c>
      <c r="AA140" s="2">
        <f>('1'!$K140-Data!$O140)*'1'!V140</f>
        <v>-0.22222222222222224</v>
      </c>
      <c r="AB140" s="2">
        <f>('1'!$K140-Data!$O140)*'1'!W140</f>
        <v>-0.16666666666666663</v>
      </c>
      <c r="AC140" s="2">
        <f>('1'!$K140-Data!$O140)*'1'!X140</f>
        <v>-0.20338983050847456</v>
      </c>
      <c r="AD140" s="2">
        <f>('1'!$K140-Data!$O140)*'1'!Y140</f>
        <v>-0.1759259259259259</v>
      </c>
      <c r="AE140" s="2">
        <f>('1'!$K140-Data!$O140)</f>
        <v>-0.66666666666666674</v>
      </c>
    </row>
    <row r="141" spans="2:31" x14ac:dyDescent="0.25">
      <c r="B141" s="2">
        <f ca="1">B$2*Data!$I141+B$3*Data!$J141+B$4*Data!$K141+B$5*Data!$L141+B$6</f>
        <v>-1.1072173988600859E-2</v>
      </c>
      <c r="C141" s="2">
        <f ca="1">C$2*Data!$I141+C$3*Data!$J141+C$4*Data!$K141+C$5*Data!$L141+C$6</f>
        <v>0.40125464880338041</v>
      </c>
      <c r="D141" s="2">
        <f ca="1">D$2*Data!$I141+D$3*Data!$J141+D$4*Data!$K141+D$5*Data!$L141+D$6</f>
        <v>0.68121583026996713</v>
      </c>
      <c r="E141" s="2">
        <f ca="1">EXP(B141)</f>
        <v>0.98898889692607017</v>
      </c>
      <c r="F141" s="2">
        <f ca="1">EXP(C141)</f>
        <v>1.4936975883773964</v>
      </c>
      <c r="G141" s="2">
        <f ca="1">EXP(D141)</f>
        <v>1.9762790920536724</v>
      </c>
      <c r="H141" s="2">
        <f ca="1">SUM(E141:G141)</f>
        <v>4.4589655773571391</v>
      </c>
      <c r="I141" s="2">
        <f ca="1">E141/'1'!$H141</f>
        <v>0.23065845070028476</v>
      </c>
      <c r="J141" s="2">
        <f ca="1">F141/H141</f>
        <v>0.33498746793706397</v>
      </c>
      <c r="K141" s="2">
        <f ca="1">G141/H141</f>
        <v>0.44321470030836774</v>
      </c>
      <c r="L141" s="2">
        <f ca="1">-Data!$M141*LOG(I141)</f>
        <v>0</v>
      </c>
      <c r="M141" s="2">
        <f ca="1">-Data!$N141*LOG(J141)</f>
        <v>0</v>
      </c>
      <c r="N141" s="2">
        <f ca="1">-Data!$O141*LOG(K141)</f>
        <v>0.35338584359341207</v>
      </c>
      <c r="O141" s="2">
        <f ca="1">SUM(L141:N141)</f>
        <v>0.35338584359341207</v>
      </c>
      <c r="P141" s="2"/>
      <c r="Q141" s="2">
        <f ca="1">(I141-'1'!Z141)*'1'!V141</f>
        <v>-1.9964560511981679E-2</v>
      </c>
      <c r="R141" s="2">
        <f>('1'!$I141-Data!$M141)*'1'!W141</f>
        <v>3.7037037037037028E-2</v>
      </c>
      <c r="S141" s="2">
        <f>('1'!$I141-Data!$M141)*'1'!X141</f>
        <v>8.6629001883239173E-2</v>
      </c>
      <c r="T141" s="2">
        <f>('1'!$I141-Data!$M141)*'1'!Y141</f>
        <v>9.7222222222222252E-2</v>
      </c>
      <c r="U141" s="2">
        <f>('1'!$I141-Data!$M141)</f>
        <v>0.33333333333333337</v>
      </c>
      <c r="V141" s="2">
        <f>('1'!$J141-Data!$N141)*'1'!V141</f>
        <v>6.4814814814814839E-2</v>
      </c>
      <c r="W141" s="2">
        <f>('1'!$J141-Data!$N141)*'1'!W141</f>
        <v>3.7037037037037028E-2</v>
      </c>
      <c r="X141" s="2">
        <f>('1'!$J141-Data!$N141)*'1'!X141</f>
        <v>8.6629001883239173E-2</v>
      </c>
      <c r="Y141" s="2">
        <f>('1'!$J141-Data!$N141)*'1'!Y141</f>
        <v>9.7222222222222252E-2</v>
      </c>
      <c r="Z141" s="2">
        <f>('1'!$J141-Data!$N141)</f>
        <v>0.33333333333333337</v>
      </c>
      <c r="AA141" s="2">
        <f>('1'!$K141-Data!$O141)*'1'!V141</f>
        <v>-0.12962962962962965</v>
      </c>
      <c r="AB141" s="2">
        <f>('1'!$K141-Data!$O141)*'1'!W141</f>
        <v>-7.4074074074074042E-2</v>
      </c>
      <c r="AC141" s="2">
        <f>('1'!$K141-Data!$O141)*'1'!X141</f>
        <v>-0.17325800376647832</v>
      </c>
      <c r="AD141" s="2">
        <f>('1'!$K141-Data!$O141)*'1'!Y141</f>
        <v>-0.19444444444444448</v>
      </c>
      <c r="AE141" s="2">
        <f>('1'!$K141-Data!$O141)</f>
        <v>-0.66666666666666663</v>
      </c>
    </row>
    <row r="142" spans="2:31" x14ac:dyDescent="0.25">
      <c r="B142" s="2">
        <f ca="1">B$2*Data!$I142+B$3*Data!$J142+B$4*Data!$K142+B$5*Data!$L142+B$6</f>
        <v>2.6228455944853318E-2</v>
      </c>
      <c r="C142" s="2">
        <f ca="1">C$2*Data!$I142+C$3*Data!$J142+C$4*Data!$K142+C$5*Data!$L142+C$6</f>
        <v>0.34914035133996046</v>
      </c>
      <c r="D142" s="2">
        <f ca="1">D$2*Data!$I142+D$3*Data!$J142+D$4*Data!$K142+D$5*Data!$L142+D$6</f>
        <v>0.57477243565304015</v>
      </c>
      <c r="E142" s="2">
        <f ca="1">EXP(B142)</f>
        <v>1.0265754489500614</v>
      </c>
      <c r="F142" s="2">
        <f ca="1">EXP(C142)</f>
        <v>1.4178481732688781</v>
      </c>
      <c r="G142" s="2">
        <f ca="1">EXP(D142)</f>
        <v>1.7767261613775533</v>
      </c>
      <c r="H142" s="2">
        <f ca="1">SUM(E142:G142)</f>
        <v>4.2211497835964931</v>
      </c>
      <c r="I142" s="2">
        <f ca="1">E142/'1'!$H142</f>
        <v>0.24930017652525843</v>
      </c>
      <c r="J142" s="2">
        <f ca="1">F142/H142</f>
        <v>0.33589146226904243</v>
      </c>
      <c r="K142" s="2">
        <f ca="1">G142/H142</f>
        <v>0.42091047521743041</v>
      </c>
      <c r="L142" s="2">
        <f ca="1">-Data!$M142*LOG(I142)</f>
        <v>0</v>
      </c>
      <c r="M142" s="2">
        <f ca="1">-Data!$N142*LOG(J142)</f>
        <v>0</v>
      </c>
      <c r="N142" s="2">
        <f ca="1">-Data!$O142*LOG(K142)</f>
        <v>0.37581026581169108</v>
      </c>
      <c r="O142" s="2">
        <f ca="1">SUM(L142:N142)</f>
        <v>0.37581026581169108</v>
      </c>
      <c r="P142" s="2"/>
      <c r="Q142" s="2">
        <f ca="1">(I142-'1'!Z142)*'1'!V142</f>
        <v>-1.5561695705199049E-2</v>
      </c>
      <c r="R142" s="2">
        <f>('1'!$I142-Data!$M142)*'1'!W142</f>
        <v>3.7037037037037021E-2</v>
      </c>
      <c r="S142" s="2">
        <f>('1'!$I142-Data!$M142)*'1'!X142</f>
        <v>7.7212806026365335E-2</v>
      </c>
      <c r="T142" s="2">
        <f>('1'!$I142-Data!$M142)*'1'!Y142</f>
        <v>6.4814814814814811E-2</v>
      </c>
      <c r="U142" s="2">
        <f>('1'!$I142-Data!$M142)</f>
        <v>0.33333333333333331</v>
      </c>
      <c r="V142" s="2">
        <f>('1'!$J142-Data!$N142)*'1'!V142</f>
        <v>6.1728395061728378E-2</v>
      </c>
      <c r="W142" s="2">
        <f>('1'!$J142-Data!$N142)*'1'!W142</f>
        <v>3.7037037037037021E-2</v>
      </c>
      <c r="X142" s="2">
        <f>('1'!$J142-Data!$N142)*'1'!X142</f>
        <v>7.7212806026365335E-2</v>
      </c>
      <c r="Y142" s="2">
        <f>('1'!$J142-Data!$N142)*'1'!Y142</f>
        <v>6.4814814814814811E-2</v>
      </c>
      <c r="Z142" s="2">
        <f>('1'!$J142-Data!$N142)</f>
        <v>0.33333333333333331</v>
      </c>
      <c r="AA142" s="2">
        <f>('1'!$K142-Data!$O142)*'1'!V142</f>
        <v>-0.12345679012345678</v>
      </c>
      <c r="AB142" s="2">
        <f>('1'!$K142-Data!$O142)*'1'!W142</f>
        <v>-7.4074074074074056E-2</v>
      </c>
      <c r="AC142" s="2">
        <f>('1'!$K142-Data!$O142)*'1'!X142</f>
        <v>-0.1544256120527307</v>
      </c>
      <c r="AD142" s="2">
        <f>('1'!$K142-Data!$O142)*'1'!Y142</f>
        <v>-0.12962962962962965</v>
      </c>
      <c r="AE142" s="2">
        <f>('1'!$K142-Data!$O142)</f>
        <v>-0.66666666666666674</v>
      </c>
    </row>
    <row r="143" spans="2:31" x14ac:dyDescent="0.25">
      <c r="B143" s="2">
        <f ca="1">B$2*Data!$I143+B$3*Data!$J143+B$4*Data!$K143+B$5*Data!$L143+B$6</f>
        <v>8.5960358879424159E-3</v>
      </c>
      <c r="C143" s="2">
        <f ca="1">C$2*Data!$I143+C$3*Data!$J143+C$4*Data!$K143+C$5*Data!$L143+C$6</f>
        <v>0.34627008090214578</v>
      </c>
      <c r="D143" s="2">
        <f ca="1">D$2*Data!$I143+D$3*Data!$J143+D$4*Data!$K143+D$5*Data!$L143+D$6</f>
        <v>0.56653218829465835</v>
      </c>
      <c r="E143" s="2">
        <f ca="1">EXP(B143)</f>
        <v>1.0086330878951357</v>
      </c>
      <c r="F143" s="2">
        <f ca="1">EXP(C143)</f>
        <v>1.4137844004252973</v>
      </c>
      <c r="G143" s="2">
        <f ca="1">EXP(D143)</f>
        <v>1.7621456543154084</v>
      </c>
      <c r="H143" s="2">
        <f ca="1">SUM(E143:G143)</f>
        <v>4.1845631426358416</v>
      </c>
      <c r="I143" s="2">
        <f ca="1">E143/'1'!$H143</f>
        <v>0.2473010098053709</v>
      </c>
      <c r="J143" s="2">
        <f ca="1">F143/H143</f>
        <v>0.33785710771585092</v>
      </c>
      <c r="K143" s="2">
        <f ca="1">G143/H143</f>
        <v>0.42110624078322284</v>
      </c>
      <c r="L143" s="2">
        <f ca="1">-Data!$M143*LOG(I143)</f>
        <v>0</v>
      </c>
      <c r="M143" s="2">
        <f ca="1">-Data!$N143*LOG(J143)</f>
        <v>0</v>
      </c>
      <c r="N143" s="2">
        <f ca="1">-Data!$O143*LOG(K143)</f>
        <v>0.37560832229943864</v>
      </c>
      <c r="O143" s="2">
        <f ca="1">SUM(L143:N143)</f>
        <v>0.37560832229943864</v>
      </c>
      <c r="P143" s="2"/>
      <c r="Q143" s="2">
        <f ca="1">(I143-'1'!Z143)*'1'!V143</f>
        <v>-1.4338720587993745E-2</v>
      </c>
      <c r="R143" s="2">
        <f>('1'!$I143-Data!$M143)*'1'!W143</f>
        <v>2.7777777777777783E-2</v>
      </c>
      <c r="S143" s="2">
        <f>('1'!$I143-Data!$M143)*'1'!X143</f>
        <v>8.6629001883239173E-2</v>
      </c>
      <c r="T143" s="2">
        <f>('1'!$I143-Data!$M143)*'1'!Y143</f>
        <v>6.0185185185185189E-2</v>
      </c>
      <c r="U143" s="2">
        <f>('1'!$I143-Data!$M143)</f>
        <v>0.33333333333333337</v>
      </c>
      <c r="V143" s="2">
        <f>('1'!$J143-Data!$N143)*'1'!V143</f>
        <v>5.5555555555555559E-2</v>
      </c>
      <c r="W143" s="2">
        <f>('1'!$J143-Data!$N143)*'1'!W143</f>
        <v>2.7777777777777783E-2</v>
      </c>
      <c r="X143" s="2">
        <f>('1'!$J143-Data!$N143)*'1'!X143</f>
        <v>8.6629001883239173E-2</v>
      </c>
      <c r="Y143" s="2">
        <f>('1'!$J143-Data!$N143)*'1'!Y143</f>
        <v>6.0185185185185189E-2</v>
      </c>
      <c r="Z143" s="2">
        <f>('1'!$J143-Data!$N143)</f>
        <v>0.33333333333333337</v>
      </c>
      <c r="AA143" s="2">
        <f>('1'!$K143-Data!$O143)*'1'!V143</f>
        <v>-0.1111111111111111</v>
      </c>
      <c r="AB143" s="2">
        <f>('1'!$K143-Data!$O143)*'1'!W143</f>
        <v>-5.5555555555555559E-2</v>
      </c>
      <c r="AC143" s="2">
        <f>('1'!$K143-Data!$O143)*'1'!X143</f>
        <v>-0.17325800376647832</v>
      </c>
      <c r="AD143" s="2">
        <f>('1'!$K143-Data!$O143)*'1'!Y143</f>
        <v>-0.12037037037037036</v>
      </c>
      <c r="AE143" s="2">
        <f>('1'!$K143-Data!$O143)</f>
        <v>-0.66666666666666663</v>
      </c>
    </row>
    <row r="144" spans="2:31" x14ac:dyDescent="0.25">
      <c r="B144" s="2">
        <f ca="1">B$2*Data!$I144+B$3*Data!$J144+B$4*Data!$K144+B$5*Data!$L144+B$6</f>
        <v>-1.4429902687487076E-2</v>
      </c>
      <c r="C144" s="2">
        <f ca="1">C$2*Data!$I144+C$3*Data!$J144+C$4*Data!$K144+C$5*Data!$L144+C$6</f>
        <v>0.46276323639025702</v>
      </c>
      <c r="D144" s="2">
        <f ca="1">D$2*Data!$I144+D$3*Data!$J144+D$4*Data!$K144+D$5*Data!$L144+D$6</f>
        <v>0.79432203352886932</v>
      </c>
      <c r="E144" s="2">
        <f ca="1">EXP(B144)</f>
        <v>0.98567370938886223</v>
      </c>
      <c r="F144" s="2">
        <f ca="1">EXP(C144)</f>
        <v>1.588457209027756</v>
      </c>
      <c r="G144" s="2">
        <f ca="1">EXP(D144)</f>
        <v>2.2129401888621616</v>
      </c>
      <c r="H144" s="2">
        <f ca="1">SUM(E144:G144)</f>
        <v>4.7870711072787797</v>
      </c>
      <c r="I144" s="2">
        <f ca="1">E144/'1'!$H144</f>
        <v>0.21712964811440888</v>
      </c>
      <c r="J144" s="2">
        <f ca="1">F144/H144</f>
        <v>0.33182235513746478</v>
      </c>
      <c r="K144" s="2">
        <f ca="1">G144/H144</f>
        <v>0.46227435090683494</v>
      </c>
      <c r="L144" s="2">
        <f ca="1">-Data!$M144*LOG(I144)</f>
        <v>0</v>
      </c>
      <c r="M144" s="2">
        <f ca="1">-Data!$N144*LOG(J144)</f>
        <v>0</v>
      </c>
      <c r="N144" s="2">
        <f ca="1">-Data!$O144*LOG(K144)</f>
        <v>0.33510020253563705</v>
      </c>
      <c r="O144" s="2">
        <f ca="1">SUM(L144:N144)</f>
        <v>0.33510020253563705</v>
      </c>
      <c r="P144" s="2"/>
      <c r="Q144" s="2">
        <f ca="1">(I144-'1'!Z144)*'1'!V144</f>
        <v>-3.6582641642994747E-2</v>
      </c>
      <c r="R144" s="2">
        <f>('1'!$I144-Data!$M144)*'1'!W144</f>
        <v>4.6296296296296301E-2</v>
      </c>
      <c r="S144" s="2">
        <f>('1'!$I144-Data!$M144)*'1'!X144</f>
        <v>9.6045197740113011E-2</v>
      </c>
      <c r="T144" s="2">
        <f>('1'!$I144-Data!$M144)*'1'!Y144</f>
        <v>0.10185185185185187</v>
      </c>
      <c r="U144" s="2">
        <f>('1'!$I144-Data!$M144)</f>
        <v>0.33333333333333337</v>
      </c>
      <c r="V144" s="2">
        <f>('1'!$J144-Data!$N144)*'1'!V144</f>
        <v>0.10493827160493829</v>
      </c>
      <c r="W144" s="2">
        <f>('1'!$J144-Data!$N144)*'1'!W144</f>
        <v>4.6296296296296301E-2</v>
      </c>
      <c r="X144" s="2">
        <f>('1'!$J144-Data!$N144)*'1'!X144</f>
        <v>9.6045197740113011E-2</v>
      </c>
      <c r="Y144" s="2">
        <f>('1'!$J144-Data!$N144)*'1'!Y144</f>
        <v>0.10185185185185187</v>
      </c>
      <c r="Z144" s="2">
        <f>('1'!$J144-Data!$N144)</f>
        <v>0.33333333333333337</v>
      </c>
      <c r="AA144" s="2">
        <f>('1'!$K144-Data!$O144)*'1'!V144</f>
        <v>-0.20987654320987653</v>
      </c>
      <c r="AB144" s="2">
        <f>('1'!$K144-Data!$O144)*'1'!W144</f>
        <v>-9.2592592592592587E-2</v>
      </c>
      <c r="AC144" s="2">
        <f>('1'!$K144-Data!$O144)*'1'!X144</f>
        <v>-0.19209039548022599</v>
      </c>
      <c r="AD144" s="2">
        <f>('1'!$K144-Data!$O144)*'1'!Y144</f>
        <v>-0.20370370370370372</v>
      </c>
      <c r="AE144" s="2">
        <f>('1'!$K144-Data!$O144)</f>
        <v>-0.66666666666666663</v>
      </c>
    </row>
    <row r="145" spans="2:31" x14ac:dyDescent="0.25">
      <c r="B145" s="2">
        <f ca="1">B$2*Data!$I145+B$3*Data!$J145+B$4*Data!$K145+B$5*Data!$L145+B$6</f>
        <v>2.5098093501111057E-2</v>
      </c>
      <c r="C145" s="2">
        <f ca="1">C$2*Data!$I145+C$3*Data!$J145+C$4*Data!$K145+C$5*Data!$L145+C$6</f>
        <v>0.41887167555235155</v>
      </c>
      <c r="D145" s="2">
        <f ca="1">D$2*Data!$I145+D$3*Data!$J145+D$4*Data!$K145+D$5*Data!$L145+D$6</f>
        <v>0.71909520269795058</v>
      </c>
      <c r="E145" s="2">
        <f ca="1">EXP(B145)</f>
        <v>1.0254157022074673</v>
      </c>
      <c r="F145" s="2">
        <f ca="1">EXP(C145)</f>
        <v>1.5202452576396199</v>
      </c>
      <c r="G145" s="2">
        <f ca="1">EXP(D145)</f>
        <v>2.0525752057033411</v>
      </c>
      <c r="H145" s="2">
        <f ca="1">SUM(E145:G145)</f>
        <v>4.5982361655504285</v>
      </c>
      <c r="I145" s="2">
        <f ca="1">E145/'1'!$H145</f>
        <v>0.23195717402296362</v>
      </c>
      <c r="J145" s="2">
        <f ca="1">F145/H145</f>
        <v>0.33061487120412836</v>
      </c>
      <c r="K145" s="2">
        <f ca="1">G145/H145</f>
        <v>0.44638316341406076</v>
      </c>
      <c r="L145" s="2">
        <f ca="1">-Data!$M145*LOG(I145)</f>
        <v>0</v>
      </c>
      <c r="M145" s="2">
        <f ca="1">-Data!$N145*LOG(J145)</f>
        <v>0</v>
      </c>
      <c r="N145" s="2">
        <f ca="1">-Data!$O145*LOG(K145)</f>
        <v>0.35029219438916648</v>
      </c>
      <c r="O145" s="2">
        <f ca="1">SUM(L145:N145)</f>
        <v>0.35029219438916648</v>
      </c>
      <c r="P145" s="2"/>
      <c r="Q145" s="2">
        <f ca="1">(I145-'1'!Z145)*'1'!V145</f>
        <v>-1.8773362835253656E-2</v>
      </c>
      <c r="R145" s="2">
        <f>('1'!$I145-Data!$M145)*'1'!W145</f>
        <v>6.4814814814814825E-2</v>
      </c>
      <c r="S145" s="2">
        <f>('1'!$I145-Data!$M145)*'1'!X145</f>
        <v>8.6629001883239173E-2</v>
      </c>
      <c r="T145" s="2">
        <f>('1'!$I145-Data!$M145)*'1'!Y145</f>
        <v>0.10648148148148151</v>
      </c>
      <c r="U145" s="2">
        <f>('1'!$I145-Data!$M145)</f>
        <v>0.33333333333333337</v>
      </c>
      <c r="V145" s="2">
        <f>('1'!$J145-Data!$N145)*'1'!V145</f>
        <v>6.1728395061728399E-2</v>
      </c>
      <c r="W145" s="2">
        <f>('1'!$J145-Data!$N145)*'1'!W145</f>
        <v>6.4814814814814825E-2</v>
      </c>
      <c r="X145" s="2">
        <f>('1'!$J145-Data!$N145)*'1'!X145</f>
        <v>8.6629001883239173E-2</v>
      </c>
      <c r="Y145" s="2">
        <f>('1'!$J145-Data!$N145)*'1'!Y145</f>
        <v>0.10648148148148151</v>
      </c>
      <c r="Z145" s="2">
        <f>('1'!$J145-Data!$N145)</f>
        <v>0.33333333333333337</v>
      </c>
      <c r="AA145" s="2">
        <f>('1'!$K145-Data!$O145)*'1'!V145</f>
        <v>-0.12345679012345678</v>
      </c>
      <c r="AB145" s="2">
        <f>('1'!$K145-Data!$O145)*'1'!W145</f>
        <v>-0.12962962962962962</v>
      </c>
      <c r="AC145" s="2">
        <f>('1'!$K145-Data!$O145)*'1'!X145</f>
        <v>-0.17325800376647832</v>
      </c>
      <c r="AD145" s="2">
        <f>('1'!$K145-Data!$O145)*'1'!Y145</f>
        <v>-0.21296296296296297</v>
      </c>
      <c r="AE145" s="2">
        <f>('1'!$K145-Data!$O145)</f>
        <v>-0.66666666666666663</v>
      </c>
    </row>
    <row r="146" spans="2:31" x14ac:dyDescent="0.25">
      <c r="B146" s="2">
        <f ca="1">B$2*Data!$I146+B$3*Data!$J146+B$4*Data!$K146+B$5*Data!$L146+B$6</f>
        <v>2.8989546648295755E-2</v>
      </c>
      <c r="C146" s="2">
        <f ca="1">C$2*Data!$I146+C$3*Data!$J146+C$4*Data!$K146+C$5*Data!$L146+C$6</f>
        <v>0.38285583766460585</v>
      </c>
      <c r="D146" s="2">
        <f ca="1">D$2*Data!$I146+D$3*Data!$J146+D$4*Data!$K146+D$5*Data!$L146+D$6</f>
        <v>0.64196817500913317</v>
      </c>
      <c r="E146" s="2">
        <f ca="1">EXP(B146)</f>
        <v>1.0294138335940355</v>
      </c>
      <c r="F146" s="2">
        <f ca="1">EXP(C146)</f>
        <v>1.4664666055784028</v>
      </c>
      <c r="G146" s="2">
        <f ca="1">EXP(D146)</f>
        <v>1.900217161199117</v>
      </c>
      <c r="H146" s="2">
        <f ca="1">SUM(E146:G146)</f>
        <v>4.3960976003715553</v>
      </c>
      <c r="I146" s="2">
        <f ca="1">E146/'1'!$H146</f>
        <v>0.2414980384070744</v>
      </c>
      <c r="J146" s="2">
        <f ca="1">F146/H146</f>
        <v>0.33358372331279862</v>
      </c>
      <c r="K146" s="2">
        <f ca="1">G146/H146</f>
        <v>0.43225090385584519</v>
      </c>
      <c r="L146" s="2">
        <f ca="1">-Data!$M146*LOG(I146)</f>
        <v>0</v>
      </c>
      <c r="M146" s="2">
        <f ca="1">-Data!$N146*LOG(J146)</f>
        <v>0</v>
      </c>
      <c r="N146" s="2">
        <f ca="1">-Data!$O146*LOG(K146)</f>
        <v>0.3642640899240327</v>
      </c>
      <c r="O146" s="2">
        <f ca="1">SUM(L146:N146)</f>
        <v>0.3642640899240327</v>
      </c>
      <c r="P146" s="2"/>
      <c r="Q146" s="2">
        <f ca="1">(I146-'1'!Z146)*'1'!V146</f>
        <v>-1.7856862902328123E-2</v>
      </c>
      <c r="R146" s="2">
        <f>('1'!$I146-Data!$M146)*'1'!W146</f>
        <v>5.0925925925925916E-2</v>
      </c>
      <c r="S146" s="2">
        <f>('1'!$I146-Data!$M146)*'1'!X146</f>
        <v>8.4745762711864403E-2</v>
      </c>
      <c r="T146" s="2">
        <f>('1'!$I146-Data!$M146)*'1'!Y146</f>
        <v>7.8703703703703692E-2</v>
      </c>
      <c r="U146" s="2">
        <f>('1'!$I146-Data!$M146)</f>
        <v>0.33333333333333331</v>
      </c>
      <c r="V146" s="2">
        <f>('1'!$J146-Data!$N146)*'1'!V146</f>
        <v>6.4814814814814811E-2</v>
      </c>
      <c r="W146" s="2">
        <f>('1'!$J146-Data!$N146)*'1'!W146</f>
        <v>5.0925925925925916E-2</v>
      </c>
      <c r="X146" s="2">
        <f>('1'!$J146-Data!$N146)*'1'!X146</f>
        <v>8.4745762711864403E-2</v>
      </c>
      <c r="Y146" s="2">
        <f>('1'!$J146-Data!$N146)*'1'!Y146</f>
        <v>7.8703703703703692E-2</v>
      </c>
      <c r="Z146" s="2">
        <f>('1'!$J146-Data!$N146)</f>
        <v>0.33333333333333331</v>
      </c>
      <c r="AA146" s="2">
        <f>('1'!$K146-Data!$O146)*'1'!V146</f>
        <v>-0.12962962962962965</v>
      </c>
      <c r="AB146" s="2">
        <f>('1'!$K146-Data!$O146)*'1'!W146</f>
        <v>-0.10185185185185185</v>
      </c>
      <c r="AC146" s="2">
        <f>('1'!$K146-Data!$O146)*'1'!X146</f>
        <v>-0.16949152542372883</v>
      </c>
      <c r="AD146" s="2">
        <f>('1'!$K146-Data!$O146)*'1'!Y146</f>
        <v>-0.15740740740740741</v>
      </c>
      <c r="AE146" s="2">
        <f>('1'!$K146-Data!$O146)</f>
        <v>-0.66666666666666674</v>
      </c>
    </row>
    <row r="147" spans="2:31" x14ac:dyDescent="0.25">
      <c r="B147" s="2">
        <f ca="1">B$2*Data!$I147+B$3*Data!$J147+B$4*Data!$K147+B$5*Data!$L147+B$6</f>
        <v>3.4681364769123341E-2</v>
      </c>
      <c r="C147" s="2">
        <f ca="1">C$2*Data!$I147+C$3*Data!$J147+C$4*Data!$K147+C$5*Data!$L147+C$6</f>
        <v>0.35170819261499497</v>
      </c>
      <c r="D147" s="2">
        <f ca="1">D$2*Data!$I147+D$3*Data!$J147+D$4*Data!$K147+D$5*Data!$L147+D$6</f>
        <v>0.58599744826559996</v>
      </c>
      <c r="E147" s="2">
        <f ca="1">EXP(B147)</f>
        <v>1.0352897764414375</v>
      </c>
      <c r="F147" s="2">
        <f ca="1">EXP(C147)</f>
        <v>1.421493660843524</v>
      </c>
      <c r="G147" s="2">
        <f ca="1">EXP(D147)</f>
        <v>1.7967822895032455</v>
      </c>
      <c r="H147" s="2">
        <f ca="1">SUM(E147:G147)</f>
        <v>4.2535657267882074</v>
      </c>
      <c r="I147" s="2">
        <f ca="1">E147/'1'!$H147</f>
        <v>0.24955899825752076</v>
      </c>
      <c r="J147" s="2">
        <f ca="1">F147/H147</f>
        <v>0.33418871416308615</v>
      </c>
      <c r="K147" s="2">
        <f ca="1">G147/H147</f>
        <v>0.42241789710393501</v>
      </c>
      <c r="L147" s="2">
        <f ca="1">-Data!$M147*LOG(I147)</f>
        <v>0</v>
      </c>
      <c r="M147" s="2">
        <f ca="1">-Data!$N147*LOG(J147)</f>
        <v>0</v>
      </c>
      <c r="N147" s="2">
        <f ca="1">-Data!$O147*LOG(K147)</f>
        <v>0.37425768979047824</v>
      </c>
      <c r="O147" s="2">
        <f ca="1">SUM(L147:N147)</f>
        <v>0.37425768979047824</v>
      </c>
      <c r="P147" s="2"/>
      <c r="Q147" s="2">
        <f ca="1">(I147-'1'!Z147)*'1'!V147</f>
        <v>-1.3186700891563097E-2</v>
      </c>
      <c r="R147" s="2">
        <f>('1'!$I147-Data!$M147)*'1'!W147</f>
        <v>4.6296296296296301E-2</v>
      </c>
      <c r="S147" s="2">
        <f>('1'!$I147-Data!$M147)*'1'!X147</f>
        <v>7.1563088512241066E-2</v>
      </c>
      <c r="T147" s="2">
        <f>('1'!$I147-Data!$M147)*'1'!Y147</f>
        <v>7.8703703703703734E-2</v>
      </c>
      <c r="U147" s="2">
        <f>('1'!$I147-Data!$M147)</f>
        <v>0.33333333333333337</v>
      </c>
      <c r="V147" s="2">
        <f>('1'!$J147-Data!$N147)*'1'!V147</f>
        <v>5.2469135802469147E-2</v>
      </c>
      <c r="W147" s="2">
        <f>('1'!$J147-Data!$N147)*'1'!W147</f>
        <v>4.6296296296296301E-2</v>
      </c>
      <c r="X147" s="2">
        <f>('1'!$J147-Data!$N147)*'1'!X147</f>
        <v>7.1563088512241066E-2</v>
      </c>
      <c r="Y147" s="2">
        <f>('1'!$J147-Data!$N147)*'1'!Y147</f>
        <v>7.8703703703703734E-2</v>
      </c>
      <c r="Z147" s="2">
        <f>('1'!$J147-Data!$N147)</f>
        <v>0.33333333333333337</v>
      </c>
      <c r="AA147" s="2">
        <f>('1'!$K147-Data!$O147)*'1'!V147</f>
        <v>-0.10493827160493827</v>
      </c>
      <c r="AB147" s="2">
        <f>('1'!$K147-Data!$O147)*'1'!W147</f>
        <v>-9.2592592592592587E-2</v>
      </c>
      <c r="AC147" s="2">
        <f>('1'!$K147-Data!$O147)*'1'!X147</f>
        <v>-0.1431261770244821</v>
      </c>
      <c r="AD147" s="2">
        <f>('1'!$K147-Data!$O147)*'1'!Y147</f>
        <v>-0.15740740740740744</v>
      </c>
      <c r="AE147" s="2">
        <f>('1'!$K147-Data!$O147)</f>
        <v>-0.66666666666666663</v>
      </c>
    </row>
    <row r="148" spans="2:31" x14ac:dyDescent="0.25">
      <c r="B148" s="2">
        <f ca="1">B$2*Data!$I148+B$3*Data!$J148+B$4*Data!$K148+B$5*Data!$L148+B$6</f>
        <v>1.5966133540336366E-2</v>
      </c>
      <c r="C148" s="2">
        <f ca="1">C$2*Data!$I148+C$3*Data!$J148+C$4*Data!$K148+C$5*Data!$L148+C$6</f>
        <v>0.41193323537356796</v>
      </c>
      <c r="D148" s="2">
        <f ca="1">D$2*Data!$I148+D$3*Data!$J148+D$4*Data!$K148+D$5*Data!$L148+D$6</f>
        <v>0.69999611131208528</v>
      </c>
      <c r="E148" s="2">
        <f ca="1">EXP(B148)</f>
        <v>1.0160942733076688</v>
      </c>
      <c r="F148" s="2">
        <f ca="1">EXP(C148)</f>
        <v>1.5097336361616094</v>
      </c>
      <c r="G148" s="2">
        <f ca="1">EXP(D148)</f>
        <v>2.0137448766298855</v>
      </c>
      <c r="H148" s="2">
        <f ca="1">SUM(E148:G148)</f>
        <v>4.5395727860991641</v>
      </c>
      <c r="I148" s="2">
        <f ca="1">E148/'1'!$H148</f>
        <v>0.23255900174495042</v>
      </c>
      <c r="J148" s="2">
        <f ca="1">F148/H148</f>
        <v>0.33257174348754459</v>
      </c>
      <c r="K148" s="2">
        <f ca="1">G148/H148</f>
        <v>0.44359788277792722</v>
      </c>
      <c r="L148" s="2">
        <f ca="1">-Data!$M148*LOG(I148)</f>
        <v>0</v>
      </c>
      <c r="M148" s="2">
        <f ca="1">-Data!$N148*LOG(J148)</f>
        <v>0</v>
      </c>
      <c r="N148" s="2">
        <f ca="1">-Data!$O148*LOG(K148)</f>
        <v>0.35301053533635246</v>
      </c>
      <c r="O148" s="2">
        <f ca="1">SUM(L148:N148)</f>
        <v>0.35301053533635246</v>
      </c>
      <c r="P148" s="2"/>
      <c r="Q148" s="2">
        <f ca="1">(I148-'1'!Z148)*'1'!V148</f>
        <v>-2.426048723424034E-2</v>
      </c>
      <c r="R148" s="2">
        <f>('1'!$I148-Data!$M148)*'1'!W148</f>
        <v>5.0925925925925937E-2</v>
      </c>
      <c r="S148" s="2">
        <f>('1'!$I148-Data!$M148)*'1'!X148</f>
        <v>8.286252354048966E-2</v>
      </c>
      <c r="T148" s="2">
        <f>('1'!$I148-Data!$M148)*'1'!Y148</f>
        <v>9.2592592592592629E-2</v>
      </c>
      <c r="U148" s="2">
        <f>('1'!$I148-Data!$M148)</f>
        <v>0.33333333333333337</v>
      </c>
      <c r="V148" s="2">
        <f>('1'!$J148-Data!$N148)*'1'!V148</f>
        <v>8.0246913580246923E-2</v>
      </c>
      <c r="W148" s="2">
        <f>('1'!$J148-Data!$N148)*'1'!W148</f>
        <v>5.0925925925925937E-2</v>
      </c>
      <c r="X148" s="2">
        <f>('1'!$J148-Data!$N148)*'1'!X148</f>
        <v>8.286252354048966E-2</v>
      </c>
      <c r="Y148" s="2">
        <f>('1'!$J148-Data!$N148)*'1'!Y148</f>
        <v>9.2592592592592629E-2</v>
      </c>
      <c r="Z148" s="2">
        <f>('1'!$J148-Data!$N148)</f>
        <v>0.33333333333333337</v>
      </c>
      <c r="AA148" s="2">
        <f>('1'!$K148-Data!$O148)*'1'!V148</f>
        <v>-0.16049382716049382</v>
      </c>
      <c r="AB148" s="2">
        <f>('1'!$K148-Data!$O148)*'1'!W148</f>
        <v>-0.10185185185185186</v>
      </c>
      <c r="AC148" s="2">
        <f>('1'!$K148-Data!$O148)*'1'!X148</f>
        <v>-0.16572504708097929</v>
      </c>
      <c r="AD148" s="2">
        <f>('1'!$K148-Data!$O148)*'1'!Y148</f>
        <v>-0.18518518518518523</v>
      </c>
      <c r="AE148" s="2">
        <f>('1'!$K148-Data!$O148)</f>
        <v>-0.66666666666666663</v>
      </c>
    </row>
    <row r="149" spans="2:31" x14ac:dyDescent="0.25">
      <c r="B149" s="2">
        <f ca="1">B$2*Data!$I149+B$3*Data!$J149+B$4*Data!$K149+B$5*Data!$L149+B$6</f>
        <v>1.3082272459670752E-3</v>
      </c>
      <c r="C149" s="2">
        <f ca="1">C$2*Data!$I149+C$3*Data!$J149+C$4*Data!$K149+C$5*Data!$L149+C$6</f>
        <v>0.42630866114905935</v>
      </c>
      <c r="D149" s="2">
        <f ca="1">D$2*Data!$I149+D$3*Data!$J149+D$4*Data!$K149+D$5*Data!$L149+D$6</f>
        <v>0.73128141668972013</v>
      </c>
      <c r="E149" s="2">
        <f ca="1">EXP(B149)</f>
        <v>1.0013090833485154</v>
      </c>
      <c r="F149" s="2">
        <f ca="1">EXP(C149)</f>
        <v>1.5315934455747968</v>
      </c>
      <c r="G149" s="2">
        <f ca="1">EXP(D149)</f>
        <v>2.0777413549962382</v>
      </c>
      <c r="H149" s="2">
        <f ca="1">SUM(E149:G149)</f>
        <v>4.6106438839195505</v>
      </c>
      <c r="I149" s="2">
        <f ca="1">E149/'1'!$H149</f>
        <v>0.22681887296700945</v>
      </c>
      <c r="J149" s="2">
        <f ca="1">F149/H149</f>
        <v>0.3321864546764291</v>
      </c>
      <c r="K149" s="2">
        <f ca="1">G149/H149</f>
        <v>0.45064017245893462</v>
      </c>
      <c r="L149" s="2">
        <f ca="1">-Data!$M149*LOG(I149)</f>
        <v>0</v>
      </c>
      <c r="M149" s="2">
        <f ca="1">-Data!$N149*LOG(J149)</f>
        <v>0</v>
      </c>
      <c r="N149" s="2">
        <f ca="1">-Data!$O149*LOG(K149)</f>
        <v>0.34617009556919653</v>
      </c>
      <c r="O149" s="2">
        <f ca="1">SUM(L149:N149)</f>
        <v>0.34617009556919653</v>
      </c>
      <c r="P149" s="2"/>
      <c r="Q149" s="2">
        <f ca="1">(I149-'1'!Z149)*'1'!V149</f>
        <v>-2.3669880081405317E-2</v>
      </c>
      <c r="R149" s="2">
        <f>('1'!$I149-Data!$M149)*'1'!W149</f>
        <v>5.0925925925925937E-2</v>
      </c>
      <c r="S149" s="2">
        <f>('1'!$I149-Data!$M149)*'1'!X149</f>
        <v>8.6629001883239173E-2</v>
      </c>
      <c r="T149" s="2">
        <f>('1'!$I149-Data!$M149)*'1'!Y149</f>
        <v>0.10648148148148151</v>
      </c>
      <c r="U149" s="2">
        <f>('1'!$I149-Data!$M149)</f>
        <v>0.33333333333333337</v>
      </c>
      <c r="V149" s="2">
        <f>('1'!$J149-Data!$N149)*'1'!V149</f>
        <v>7.4074074074074084E-2</v>
      </c>
      <c r="W149" s="2">
        <f>('1'!$J149-Data!$N149)*'1'!W149</f>
        <v>5.0925925925925937E-2</v>
      </c>
      <c r="X149" s="2">
        <f>('1'!$J149-Data!$N149)*'1'!X149</f>
        <v>8.6629001883239173E-2</v>
      </c>
      <c r="Y149" s="2">
        <f>('1'!$J149-Data!$N149)*'1'!Y149</f>
        <v>0.10648148148148151</v>
      </c>
      <c r="Z149" s="2">
        <f>('1'!$J149-Data!$N149)</f>
        <v>0.33333333333333337</v>
      </c>
      <c r="AA149" s="2">
        <f>('1'!$K149-Data!$O149)*'1'!V149</f>
        <v>-0.14814814814814814</v>
      </c>
      <c r="AB149" s="2">
        <f>('1'!$K149-Data!$O149)*'1'!W149</f>
        <v>-0.10185185185185186</v>
      </c>
      <c r="AC149" s="2">
        <f>('1'!$K149-Data!$O149)*'1'!X149</f>
        <v>-0.17325800376647832</v>
      </c>
      <c r="AD149" s="2">
        <f>('1'!$K149-Data!$O149)*'1'!Y149</f>
        <v>-0.21296296296296297</v>
      </c>
      <c r="AE149" s="2">
        <f>('1'!$K149-Data!$O149)</f>
        <v>-0.66666666666666663</v>
      </c>
    </row>
    <row r="150" spans="2:31" x14ac:dyDescent="0.25">
      <c r="B150" s="2">
        <f ca="1">B$2*Data!$I150+B$3*Data!$J150+B$4*Data!$K150+B$5*Data!$L150+B$6</f>
        <v>1.2528610265840984E-2</v>
      </c>
      <c r="C150" s="2">
        <f ca="1">C$2*Data!$I150+C$3*Data!$J150+C$4*Data!$K150+C$5*Data!$L150+C$6</f>
        <v>0.41523217232761478</v>
      </c>
      <c r="D150" s="2">
        <f ca="1">D$2*Data!$I150+D$3*Data!$J150+D$4*Data!$K150+D$5*Data!$L150+D$6</f>
        <v>0.70988046034439811</v>
      </c>
      <c r="E150" s="2">
        <f ca="1">EXP(B150)</f>
        <v>1.0126074220937435</v>
      </c>
      <c r="F150" s="2">
        <f ca="1">EXP(C150)</f>
        <v>1.5147223764902578</v>
      </c>
      <c r="G150" s="2">
        <f ca="1">EXP(D150)</f>
        <v>2.033748130564208</v>
      </c>
      <c r="H150" s="2">
        <f ca="1">SUM(E150:G150)</f>
        <v>4.56107792914821</v>
      </c>
      <c r="I150" s="2">
        <f ca="1">E150/'1'!$H150</f>
        <v>0.23100927308332134</v>
      </c>
      <c r="J150" s="2">
        <f ca="1">F150/H150</f>
        <v>0.33209745591282519</v>
      </c>
      <c r="K150" s="2">
        <f ca="1">G150/H150</f>
        <v>0.44589199354986997</v>
      </c>
      <c r="L150" s="2">
        <f ca="1">-Data!$M150*LOG(I150)</f>
        <v>0</v>
      </c>
      <c r="M150" s="2">
        <f ca="1">-Data!$N150*LOG(J150)</f>
        <v>0</v>
      </c>
      <c r="N150" s="2">
        <f ca="1">-Data!$O150*LOG(K150)</f>
        <v>0.35077032578524109</v>
      </c>
      <c r="O150" s="2">
        <f ca="1">SUM(L150:N150)</f>
        <v>0.35077032578524109</v>
      </c>
      <c r="P150" s="2"/>
      <c r="Q150" s="2">
        <f ca="1">(I150-'1'!Z150)*'1'!V150</f>
        <v>-2.4633570060188084E-2</v>
      </c>
      <c r="R150" s="2">
        <f>('1'!$I150-Data!$M150)*'1'!W150</f>
        <v>5.0925925925925937E-2</v>
      </c>
      <c r="S150" s="2">
        <f>('1'!$I150-Data!$M150)*'1'!X150</f>
        <v>7.7212806026365363E-2</v>
      </c>
      <c r="T150" s="2">
        <f>('1'!$I150-Data!$M150)*'1'!Y150</f>
        <v>0.10185185185185187</v>
      </c>
      <c r="U150" s="2">
        <f>('1'!$I150-Data!$M150)</f>
        <v>0.33333333333333337</v>
      </c>
      <c r="V150" s="2">
        <f>('1'!$J150-Data!$N150)*'1'!V150</f>
        <v>8.0246913580246923E-2</v>
      </c>
      <c r="W150" s="2">
        <f>('1'!$J150-Data!$N150)*'1'!W150</f>
        <v>5.0925925925925937E-2</v>
      </c>
      <c r="X150" s="2">
        <f>('1'!$J150-Data!$N150)*'1'!X150</f>
        <v>7.7212806026365363E-2</v>
      </c>
      <c r="Y150" s="2">
        <f>('1'!$J150-Data!$N150)*'1'!Y150</f>
        <v>0.10185185185185187</v>
      </c>
      <c r="Z150" s="2">
        <f>('1'!$J150-Data!$N150)</f>
        <v>0.33333333333333337</v>
      </c>
      <c r="AA150" s="2">
        <f>('1'!$K150-Data!$O150)*'1'!V150</f>
        <v>-0.16049382716049382</v>
      </c>
      <c r="AB150" s="2">
        <f>('1'!$K150-Data!$O150)*'1'!W150</f>
        <v>-0.10185185185185186</v>
      </c>
      <c r="AC150" s="2">
        <f>('1'!$K150-Data!$O150)*'1'!X150</f>
        <v>-0.1544256120527307</v>
      </c>
      <c r="AD150" s="2">
        <f>('1'!$K150-Data!$O150)*'1'!Y150</f>
        <v>-0.20370370370370372</v>
      </c>
      <c r="AE150" s="2">
        <f>('1'!$K150-Data!$O150)</f>
        <v>-0.66666666666666663</v>
      </c>
    </row>
    <row r="151" spans="2:31" x14ac:dyDescent="0.25">
      <c r="B151" s="2">
        <f ca="1">B$2*Data!$I151+B$3*Data!$J151+B$4*Data!$K151+B$5*Data!$L151+B$6</f>
        <v>4.6839600600796782E-3</v>
      </c>
      <c r="C151" s="2">
        <f ca="1">C$2*Data!$I151+C$3*Data!$J151+C$4*Data!$K151+C$5*Data!$L151+C$6</f>
        <v>0.35285048508481642</v>
      </c>
      <c r="D151" s="2">
        <f ca="1">D$2*Data!$I151+D$3*Data!$J151+D$4*Data!$K151+D$5*Data!$L151+D$6</f>
        <v>0.58844013112629112</v>
      </c>
      <c r="E151" s="2">
        <f ca="1">EXP(B151)</f>
        <v>1.0046949469483526</v>
      </c>
      <c r="F151" s="2">
        <f ca="1">EXP(C151)</f>
        <v>1.4231183501066977</v>
      </c>
      <c r="G151" s="2">
        <f ca="1">EXP(D151)</f>
        <v>1.8011766236035316</v>
      </c>
      <c r="H151" s="2">
        <f ca="1">SUM(E151:G151)</f>
        <v>4.2289899206585817</v>
      </c>
      <c r="I151" s="2">
        <f ca="1">E151/'1'!$H151</f>
        <v>0.24432568054188369</v>
      </c>
      <c r="J151" s="2">
        <f ca="1">F151/H151</f>
        <v>0.3365149543522854</v>
      </c>
      <c r="K151" s="2">
        <f ca="1">G151/H151</f>
        <v>0.42591177973841893</v>
      </c>
      <c r="L151" s="2">
        <f ca="1">-Data!$M151*LOG(I151)</f>
        <v>0</v>
      </c>
      <c r="M151" s="2">
        <f ca="1">-Data!$N151*LOG(J151)</f>
        <v>0</v>
      </c>
      <c r="N151" s="2">
        <f ca="1">-Data!$O151*LOG(K151)</f>
        <v>0.37068034817549678</v>
      </c>
      <c r="O151" s="2">
        <f ca="1">SUM(L151:N151)</f>
        <v>0.37068034817549678</v>
      </c>
      <c r="P151" s="2"/>
      <c r="Q151" s="2">
        <f ca="1">(I151-'1'!Z151)*'1'!V151</f>
        <v>-1.2362173998812455E-2</v>
      </c>
      <c r="R151" s="2">
        <f>('1'!$I151-Data!$M151)*'1'!W151</f>
        <v>3.2407407407407419E-2</v>
      </c>
      <c r="S151" s="2">
        <f>('1'!$I151-Data!$M151)*'1'!X151</f>
        <v>7.7212806026365363E-2</v>
      </c>
      <c r="T151" s="2">
        <f>('1'!$I151-Data!$M151)*'1'!Y151</f>
        <v>8.3333333333333343E-2</v>
      </c>
      <c r="U151" s="2">
        <f>('1'!$I151-Data!$M151)</f>
        <v>0.33333333333333337</v>
      </c>
      <c r="V151" s="2">
        <f>('1'!$J151-Data!$N151)*'1'!V151</f>
        <v>4.6296296296296301E-2</v>
      </c>
      <c r="W151" s="2">
        <f>('1'!$J151-Data!$N151)*'1'!W151</f>
        <v>3.2407407407407419E-2</v>
      </c>
      <c r="X151" s="2">
        <f>('1'!$J151-Data!$N151)*'1'!X151</f>
        <v>7.7212806026365363E-2</v>
      </c>
      <c r="Y151" s="2">
        <f>('1'!$J151-Data!$N151)*'1'!Y151</f>
        <v>8.3333333333333343E-2</v>
      </c>
      <c r="Z151" s="2">
        <f>('1'!$J151-Data!$N151)</f>
        <v>0.33333333333333337</v>
      </c>
      <c r="AA151" s="2">
        <f>('1'!$K151-Data!$O151)*'1'!V151</f>
        <v>-9.2592592592592587E-2</v>
      </c>
      <c r="AB151" s="2">
        <f>('1'!$K151-Data!$O151)*'1'!W151</f>
        <v>-6.4814814814814825E-2</v>
      </c>
      <c r="AC151" s="2">
        <f>('1'!$K151-Data!$O151)*'1'!X151</f>
        <v>-0.1544256120527307</v>
      </c>
      <c r="AD151" s="2">
        <f>('1'!$K151-Data!$O151)*'1'!Y151</f>
        <v>-0.16666666666666666</v>
      </c>
      <c r="AE151" s="2">
        <f>('1'!$K151-Data!$O151)</f>
        <v>-0.66666666666666663</v>
      </c>
    </row>
    <row r="152" spans="2:31" x14ac:dyDescent="0.25">
      <c r="B152" s="2">
        <f ca="1">B$2*Data!$I152+B$3*Data!$J152+B$4*Data!$K152+B$5*Data!$L152+B$6</f>
        <v>7.4990941418616452E-3</v>
      </c>
      <c r="C152" s="2">
        <f ca="1">C$2*Data!$I152+C$3*Data!$J152+C$4*Data!$K152+C$5*Data!$L152+C$6</f>
        <v>0.43311839189048579</v>
      </c>
      <c r="D152" s="2">
        <f ca="1">D$2*Data!$I152+D$3*Data!$J152+D$4*Data!$K152+D$5*Data!$L152+D$6</f>
        <v>0.74186838967386803</v>
      </c>
      <c r="E152" s="2">
        <f ca="1">EXP(B152)</f>
        <v>1.0075272827673318</v>
      </c>
      <c r="F152" s="2">
        <f ca="1">EXP(C152)</f>
        <v>1.5420587771476844</v>
      </c>
      <c r="G152" s="2">
        <f ca="1">EXP(D152)</f>
        <v>2.0998551993758556</v>
      </c>
      <c r="H152" s="2">
        <f ca="1">SUM(E152:G152)</f>
        <v>4.6494412592908718</v>
      </c>
      <c r="I152" s="2">
        <f ca="1">E152/'1'!$H152</f>
        <v>0.22644002642978206</v>
      </c>
      <c r="J152" s="2">
        <f ca="1">F152/H152</f>
        <v>0.33166539615189755</v>
      </c>
      <c r="K152" s="2">
        <f ca="1">G152/H152</f>
        <v>0.45163603157256005</v>
      </c>
      <c r="L152" s="2">
        <f ca="1">-Data!$M152*LOG(I152)</f>
        <v>0</v>
      </c>
      <c r="M152" s="2">
        <f ca="1">-Data!$N152*LOG(J152)</f>
        <v>0</v>
      </c>
      <c r="N152" s="2">
        <f ca="1">-Data!$O152*LOG(K152)</f>
        <v>0.34521141730307409</v>
      </c>
      <c r="O152" s="2">
        <f ca="1">SUM(L152:N152)</f>
        <v>0.34521141730307409</v>
      </c>
      <c r="P152" s="2"/>
      <c r="Q152" s="2">
        <f ca="1">(I152-'1'!Z152)*'1'!V152</f>
        <v>-2.4743821042488727E-2</v>
      </c>
      <c r="R152" s="2">
        <f>('1'!$I152-Data!$M152)*'1'!W152</f>
        <v>5.5555555555555566E-2</v>
      </c>
      <c r="S152" s="2">
        <f>('1'!$I152-Data!$M152)*'1'!X152</f>
        <v>9.2278719397363498E-2</v>
      </c>
      <c r="T152" s="2">
        <f>('1'!$I152-Data!$M152)*'1'!Y152</f>
        <v>0.10185185185185187</v>
      </c>
      <c r="U152" s="2">
        <f>('1'!$I152-Data!$M152)</f>
        <v>0.33333333333333337</v>
      </c>
      <c r="V152" s="2">
        <f>('1'!$J152-Data!$N152)*'1'!V152</f>
        <v>7.716049382716049E-2</v>
      </c>
      <c r="W152" s="2">
        <f>('1'!$J152-Data!$N152)*'1'!W152</f>
        <v>5.5555555555555566E-2</v>
      </c>
      <c r="X152" s="2">
        <f>('1'!$J152-Data!$N152)*'1'!X152</f>
        <v>9.2278719397363498E-2</v>
      </c>
      <c r="Y152" s="2">
        <f>('1'!$J152-Data!$N152)*'1'!Y152</f>
        <v>0.10185185185185187</v>
      </c>
      <c r="Z152" s="2">
        <f>('1'!$J152-Data!$N152)</f>
        <v>0.33333333333333337</v>
      </c>
      <c r="AA152" s="2">
        <f>('1'!$K152-Data!$O152)*'1'!V152</f>
        <v>-0.15432098765432095</v>
      </c>
      <c r="AB152" s="2">
        <f>('1'!$K152-Data!$O152)*'1'!W152</f>
        <v>-0.11111111111111112</v>
      </c>
      <c r="AC152" s="2">
        <f>('1'!$K152-Data!$O152)*'1'!X152</f>
        <v>-0.18455743879472697</v>
      </c>
      <c r="AD152" s="2">
        <f>('1'!$K152-Data!$O152)*'1'!Y152</f>
        <v>-0.20370370370370372</v>
      </c>
      <c r="AE152" s="2">
        <f>('1'!$K152-Data!$O152)</f>
        <v>-0.66666666666666663</v>
      </c>
    </row>
    <row r="153" spans="2:31" x14ac:dyDescent="0.25">
      <c r="B153" s="2">
        <f ca="1">B$2*Data!$I153+B$3*Data!$J153+B$4*Data!$K153+B$5*Data!$L153+B$6</f>
        <v>1.0239562164625973E-2</v>
      </c>
      <c r="C153" s="2">
        <f ca="1">C$2*Data!$I153+C$3*Data!$J153+C$4*Data!$K153+C$5*Data!$L153+C$6</f>
        <v>0.43739844451005611</v>
      </c>
      <c r="D153" s="2">
        <f ca="1">D$2*Data!$I153+D$3*Data!$J153+D$4*Data!$K153+D$5*Data!$L153+D$6</f>
        <v>0.75384504417277631</v>
      </c>
      <c r="E153" s="2">
        <f ca="1">EXP(B153)</f>
        <v>1.0102921658742952</v>
      </c>
      <c r="F153" s="2">
        <f ca="1">EXP(C153)</f>
        <v>1.5486730144009893</v>
      </c>
      <c r="G153" s="2">
        <f ca="1">EXP(D153)</f>
        <v>2.1251556445171143</v>
      </c>
      <c r="H153" s="2">
        <f ca="1">SUM(E153:G153)</f>
        <v>4.684120824792398</v>
      </c>
      <c r="I153" s="2">
        <f ca="1">E153/'1'!$H153</f>
        <v>0.22562813014193545</v>
      </c>
      <c r="J153" s="2">
        <f ca="1">F153/H153</f>
        <v>0.33062191867555574</v>
      </c>
      <c r="K153" s="2">
        <f ca="1">G153/H153</f>
        <v>0.45369360099956474</v>
      </c>
      <c r="L153" s="2">
        <f ca="1">-Data!$M153*LOG(I153)</f>
        <v>0</v>
      </c>
      <c r="M153" s="2">
        <f ca="1">-Data!$N153*LOG(J153)</f>
        <v>0</v>
      </c>
      <c r="N153" s="2">
        <f ca="1">-Data!$O153*LOG(K153)</f>
        <v>0.34323734608151879</v>
      </c>
      <c r="O153" s="2">
        <f ca="1">SUM(L153:N153)</f>
        <v>0.34323734608151879</v>
      </c>
      <c r="P153" s="2"/>
      <c r="Q153" s="2">
        <f ca="1">(I153-'1'!Z153)*'1'!V153</f>
        <v>-2.3934489598088415E-2</v>
      </c>
      <c r="R153" s="2">
        <f>('1'!$I153-Data!$M153)*'1'!W153</f>
        <v>6.0185185185185161E-2</v>
      </c>
      <c r="S153" s="2">
        <f>('1'!$I153-Data!$M153)*'1'!X153</f>
        <v>8.851224105461393E-2</v>
      </c>
      <c r="T153" s="2">
        <f>('1'!$I153-Data!$M153)*'1'!Y153</f>
        <v>0.1111111111111111</v>
      </c>
      <c r="U153" s="2">
        <f>('1'!$I153-Data!$M153)</f>
        <v>0.33333333333333331</v>
      </c>
      <c r="V153" s="2">
        <f>('1'!$J153-Data!$N153)*'1'!V153</f>
        <v>7.407407407407407E-2</v>
      </c>
      <c r="W153" s="2">
        <f>('1'!$J153-Data!$N153)*'1'!W153</f>
        <v>6.0185185185185161E-2</v>
      </c>
      <c r="X153" s="2">
        <f>('1'!$J153-Data!$N153)*'1'!X153</f>
        <v>8.851224105461393E-2</v>
      </c>
      <c r="Y153" s="2">
        <f>('1'!$J153-Data!$N153)*'1'!Y153</f>
        <v>0.1111111111111111</v>
      </c>
      <c r="Z153" s="2">
        <f>('1'!$J153-Data!$N153)</f>
        <v>0.33333333333333331</v>
      </c>
      <c r="AA153" s="2">
        <f>('1'!$K153-Data!$O153)*'1'!V153</f>
        <v>-0.14814814814814817</v>
      </c>
      <c r="AB153" s="2">
        <f>('1'!$K153-Data!$O153)*'1'!W153</f>
        <v>-0.12037037037037035</v>
      </c>
      <c r="AC153" s="2">
        <f>('1'!$K153-Data!$O153)*'1'!X153</f>
        <v>-0.17702448210922789</v>
      </c>
      <c r="AD153" s="2">
        <f>('1'!$K153-Data!$O153)*'1'!Y153</f>
        <v>-0.22222222222222224</v>
      </c>
      <c r="AE153" s="2">
        <f>('1'!$K153-Data!$O153)</f>
        <v>-0.66666666666666674</v>
      </c>
    </row>
    <row r="154" spans="2:31" x14ac:dyDescent="0.25">
      <c r="B154" s="2">
        <f ca="1">B$2*Data!$I154+B$3*Data!$J154+B$4*Data!$K154+B$5*Data!$L154+B$6</f>
        <v>4.5064986824423225E-3</v>
      </c>
      <c r="C154" s="2">
        <f ca="1">C$2*Data!$I154+C$3*Data!$J154+C$4*Data!$K154+C$5*Data!$L154+C$6</f>
        <v>0.4096752221495169</v>
      </c>
      <c r="D154" s="2">
        <f ca="1">D$2*Data!$I154+D$3*Data!$J154+D$4*Data!$K154+D$5*Data!$L154+D$6</f>
        <v>0.69937760120193992</v>
      </c>
      <c r="E154" s="2">
        <f ca="1">EXP(B154)</f>
        <v>1.0045166682182243</v>
      </c>
      <c r="F154" s="2">
        <f ca="1">EXP(C154)</f>
        <v>1.5063284835329935</v>
      </c>
      <c r="G154" s="2">
        <f ca="1">EXP(D154)</f>
        <v>2.012499740168876</v>
      </c>
      <c r="H154" s="2">
        <f ca="1">SUM(E154:G154)</f>
        <v>4.5233448919200931</v>
      </c>
      <c r="I154" s="2">
        <f ca="1">E154/'1'!$H154</f>
        <v>0.23101047326845567</v>
      </c>
      <c r="J154" s="2">
        <f ca="1">F154/H154</f>
        <v>0.33301207834576135</v>
      </c>
      <c r="K154" s="2">
        <f ca="1">G154/H154</f>
        <v>0.44491405989486676</v>
      </c>
      <c r="L154" s="2">
        <f ca="1">-Data!$M154*LOG(I154)</f>
        <v>0</v>
      </c>
      <c r="M154" s="2">
        <f ca="1">-Data!$N154*LOG(J154)</f>
        <v>0</v>
      </c>
      <c r="N154" s="2">
        <f ca="1">-Data!$O154*LOG(K154)</f>
        <v>0.35172386973346903</v>
      </c>
      <c r="O154" s="2">
        <f ca="1">SUM(L154:N154)</f>
        <v>0.35172386973346903</v>
      </c>
      <c r="P154" s="2"/>
      <c r="Q154" s="2">
        <f ca="1">(I154-'1'!Z154)*'1'!V154</f>
        <v>-2.2738413347750588E-2</v>
      </c>
      <c r="R154" s="2">
        <f>('1'!$I154-Data!$M154)*'1'!W154</f>
        <v>4.6296296296296287E-2</v>
      </c>
      <c r="S154" s="2">
        <f>('1'!$I154-Data!$M154)*'1'!X154</f>
        <v>7.9096045197740106E-2</v>
      </c>
      <c r="T154" s="2">
        <f>('1'!$I154-Data!$M154)*'1'!Y154</f>
        <v>0.10185185185185183</v>
      </c>
      <c r="U154" s="2">
        <f>('1'!$I154-Data!$M154)</f>
        <v>0.33333333333333331</v>
      </c>
      <c r="V154" s="2">
        <f>('1'!$J154-Data!$N154)*'1'!V154</f>
        <v>7.407407407407407E-2</v>
      </c>
      <c r="W154" s="2">
        <f>('1'!$J154-Data!$N154)*'1'!W154</f>
        <v>4.6296296296296287E-2</v>
      </c>
      <c r="X154" s="2">
        <f>('1'!$J154-Data!$N154)*'1'!X154</f>
        <v>7.9096045197740106E-2</v>
      </c>
      <c r="Y154" s="2">
        <f>('1'!$J154-Data!$N154)*'1'!Y154</f>
        <v>0.10185185185185183</v>
      </c>
      <c r="Z154" s="2">
        <f>('1'!$J154-Data!$N154)</f>
        <v>0.33333333333333331</v>
      </c>
      <c r="AA154" s="2">
        <f>('1'!$K154-Data!$O154)*'1'!V154</f>
        <v>-0.14814814814814817</v>
      </c>
      <c r="AB154" s="2">
        <f>('1'!$K154-Data!$O154)*'1'!W154</f>
        <v>-9.2592592592592587E-2</v>
      </c>
      <c r="AC154" s="2">
        <f>('1'!$K154-Data!$O154)*'1'!X154</f>
        <v>-0.15819209039548024</v>
      </c>
      <c r="AD154" s="2">
        <f>('1'!$K154-Data!$O154)*'1'!Y154</f>
        <v>-0.20370370370370369</v>
      </c>
      <c r="AE154" s="2">
        <f>('1'!$K154-Data!$O154)</f>
        <v>-0.66666666666666674</v>
      </c>
    </row>
    <row r="155" spans="2:31" x14ac:dyDescent="0.25">
      <c r="B155" s="2">
        <f ca="1">B$2*Data!$I155+B$3*Data!$J155+B$4*Data!$K155+B$5*Data!$L155+B$6</f>
        <v>-1.0631119714546361E-2</v>
      </c>
      <c r="C155" s="2">
        <f ca="1">C$2*Data!$I155+C$3*Data!$J155+C$4*Data!$K155+C$5*Data!$L155+C$6</f>
        <v>0.36270913279377859</v>
      </c>
      <c r="D155" s="2">
        <f ca="1">D$2*Data!$I155+D$3*Data!$J155+D$4*Data!$K155+D$5*Data!$L155+D$6</f>
        <v>0.60547848409590987</v>
      </c>
      <c r="E155" s="2">
        <f ca="1">EXP(B155)</f>
        <v>0.98942519091364323</v>
      </c>
      <c r="F155" s="2">
        <f ca="1">EXP(C155)</f>
        <v>1.4372177589240516</v>
      </c>
      <c r="G155" s="2">
        <f ca="1">EXP(D155)</f>
        <v>1.8321286436066411</v>
      </c>
      <c r="H155" s="2">
        <f ca="1">SUM(E155:G155)</f>
        <v>4.2587715934443358</v>
      </c>
      <c r="I155" s="2">
        <f ca="1">E155/'1'!$H155</f>
        <v>0.23968519421243334</v>
      </c>
      <c r="J155" s="2">
        <f ca="1">F155/H155</f>
        <v>0.33747237375594574</v>
      </c>
      <c r="K155" s="2">
        <f ca="1">G155/H155</f>
        <v>0.43020119849275218</v>
      </c>
      <c r="L155" s="2">
        <f ca="1">-Data!$M155*LOG(I155)</f>
        <v>0</v>
      </c>
      <c r="M155" s="2">
        <f ca="1">-Data!$N155*LOG(J155)</f>
        <v>0</v>
      </c>
      <c r="N155" s="2">
        <f ca="1">-Data!$O155*LOG(K155)</f>
        <v>0.36632838405068585</v>
      </c>
      <c r="O155" s="2">
        <f ca="1">SUM(L155:N155)</f>
        <v>0.36632838405068585</v>
      </c>
      <c r="P155" s="2"/>
      <c r="Q155" s="2">
        <f ca="1">(I155-'1'!Z155)*'1'!V155</f>
        <v>-1.7342247985351843E-2</v>
      </c>
      <c r="R155" s="2">
        <f>('1'!$I155-Data!$M155)*'1'!W155</f>
        <v>2.3148148148148143E-2</v>
      </c>
      <c r="S155" s="2">
        <f>('1'!$I155-Data!$M155)*'1'!X155</f>
        <v>7.5329566854990565E-2</v>
      </c>
      <c r="T155" s="2">
        <f>('1'!$I155-Data!$M155)*'1'!Y155</f>
        <v>8.3333333333333329E-2</v>
      </c>
      <c r="U155" s="2">
        <f>('1'!$I155-Data!$M155)</f>
        <v>0.33333333333333331</v>
      </c>
      <c r="V155" s="2">
        <f>('1'!$J155-Data!$N155)*'1'!V155</f>
        <v>6.1728395061728378E-2</v>
      </c>
      <c r="W155" s="2">
        <f>('1'!$J155-Data!$N155)*'1'!W155</f>
        <v>2.3148148148148143E-2</v>
      </c>
      <c r="X155" s="2">
        <f>('1'!$J155-Data!$N155)*'1'!X155</f>
        <v>7.5329566854990565E-2</v>
      </c>
      <c r="Y155" s="2">
        <f>('1'!$J155-Data!$N155)*'1'!Y155</f>
        <v>8.3333333333333329E-2</v>
      </c>
      <c r="Z155" s="2">
        <f>('1'!$J155-Data!$N155)</f>
        <v>0.33333333333333331</v>
      </c>
      <c r="AA155" s="2">
        <f>('1'!$K155-Data!$O155)*'1'!V155</f>
        <v>-0.12345679012345678</v>
      </c>
      <c r="AB155" s="2">
        <f>('1'!$K155-Data!$O155)*'1'!W155</f>
        <v>-4.6296296296296294E-2</v>
      </c>
      <c r="AC155" s="2">
        <f>('1'!$K155-Data!$O155)*'1'!X155</f>
        <v>-0.15065913370998116</v>
      </c>
      <c r="AD155" s="2">
        <f>('1'!$K155-Data!$O155)*'1'!Y155</f>
        <v>-0.16666666666666669</v>
      </c>
      <c r="AE155" s="2">
        <f>('1'!$K155-Data!$O155)</f>
        <v>-0.66666666666666674</v>
      </c>
    </row>
    <row r="156" spans="2:31" x14ac:dyDescent="0.25">
      <c r="B156" s="2">
        <f ca="1">B$2*Data!$I156+B$3*Data!$J156+B$4*Data!$K156+B$5*Data!$L156+B$6</f>
        <v>1.7772959587792111E-2</v>
      </c>
      <c r="C156" s="2">
        <f ca="1">C$2*Data!$I156+C$3*Data!$J156+C$4*Data!$K156+C$5*Data!$L156+C$6</f>
        <v>0.38758867379560741</v>
      </c>
      <c r="D156" s="2">
        <f ca="1">D$2*Data!$I156+D$3*Data!$J156+D$4*Data!$K156+D$5*Data!$L156+D$6</f>
        <v>0.65403102198383289</v>
      </c>
      <c r="E156" s="2">
        <f ca="1">EXP(B156)</f>
        <v>1.0179318384877545</v>
      </c>
      <c r="F156" s="2">
        <f ca="1">EXP(C156)</f>
        <v>1.473423601889708</v>
      </c>
      <c r="G156" s="2">
        <f ca="1">EXP(D156)</f>
        <v>1.923278000083056</v>
      </c>
      <c r="H156" s="2">
        <f ca="1">SUM(E156:G156)</f>
        <v>4.4146334404605181</v>
      </c>
      <c r="I156" s="2">
        <f ca="1">E156/'1'!$H156</f>
        <v>0.23836069813377675</v>
      </c>
      <c r="J156" s="2">
        <f ca="1">F156/H156</f>
        <v>0.33375899081125204</v>
      </c>
      <c r="K156" s="2">
        <f ca="1">G156/H156</f>
        <v>0.4356597271374873</v>
      </c>
      <c r="L156" s="2">
        <f ca="1">-Data!$M156*LOG(I156)</f>
        <v>0</v>
      </c>
      <c r="M156" s="2">
        <f ca="1">-Data!$N156*LOG(J156)</f>
        <v>0</v>
      </c>
      <c r="N156" s="2">
        <f ca="1">-Data!$O156*LOG(K156)</f>
        <v>0.36085258486650734</v>
      </c>
      <c r="O156" s="2">
        <f ca="1">SUM(L156:N156)</f>
        <v>0.36085258486650734</v>
      </c>
      <c r="P156" s="2"/>
      <c r="Q156" s="2">
        <f ca="1">(I156-'1'!Z156)*'1'!V156</f>
        <v>-1.9346277540650422E-2</v>
      </c>
      <c r="R156" s="2">
        <f>('1'!$I156-Data!$M156)*'1'!W156</f>
        <v>4.6296296296296301E-2</v>
      </c>
      <c r="S156" s="2">
        <f>('1'!$I156-Data!$M156)*'1'!X156</f>
        <v>7.9096045197740134E-2</v>
      </c>
      <c r="T156" s="2">
        <f>('1'!$I156-Data!$M156)*'1'!Y156</f>
        <v>8.7962962962962979E-2</v>
      </c>
      <c r="U156" s="2">
        <f>('1'!$I156-Data!$M156)</f>
        <v>0.33333333333333337</v>
      </c>
      <c r="V156" s="2">
        <f>('1'!$J156-Data!$N156)*'1'!V156</f>
        <v>6.7901234567901245E-2</v>
      </c>
      <c r="W156" s="2">
        <f>('1'!$J156-Data!$N156)*'1'!W156</f>
        <v>4.6296296296296301E-2</v>
      </c>
      <c r="X156" s="2">
        <f>('1'!$J156-Data!$N156)*'1'!X156</f>
        <v>7.9096045197740134E-2</v>
      </c>
      <c r="Y156" s="2">
        <f>('1'!$J156-Data!$N156)*'1'!Y156</f>
        <v>8.7962962962962979E-2</v>
      </c>
      <c r="Z156" s="2">
        <f>('1'!$J156-Data!$N156)</f>
        <v>0.33333333333333337</v>
      </c>
      <c r="AA156" s="2">
        <f>('1'!$K156-Data!$O156)*'1'!V156</f>
        <v>-0.13580246913580246</v>
      </c>
      <c r="AB156" s="2">
        <f>('1'!$K156-Data!$O156)*'1'!W156</f>
        <v>-9.2592592592592587E-2</v>
      </c>
      <c r="AC156" s="2">
        <f>('1'!$K156-Data!$O156)*'1'!X156</f>
        <v>-0.15819209039548024</v>
      </c>
      <c r="AD156" s="2">
        <f>('1'!$K156-Data!$O156)*'1'!Y156</f>
        <v>-0.17592592592592593</v>
      </c>
      <c r="AE156" s="2">
        <f>('1'!$K156-Data!$O156)</f>
        <v>-0.66666666666666663</v>
      </c>
    </row>
    <row r="157" spans="2:31" x14ac:dyDescent="0.25">
      <c r="B157" s="2">
        <f ca="1">B$2*Data!$I157+B$3*Data!$J157+B$4*Data!$K157+B$5*Data!$L157+B$6</f>
        <v>3.2873283746097645E-2</v>
      </c>
      <c r="C157" s="2">
        <f ca="1">C$2*Data!$I157+C$3*Data!$J157+C$4*Data!$K157+C$5*Data!$L157+C$6</f>
        <v>0.40563436706081074</v>
      </c>
      <c r="D157" s="2">
        <f ca="1">D$2*Data!$I157+D$3*Data!$J157+D$4*Data!$K157+D$5*Data!$L157+D$6</f>
        <v>0.69355449608574771</v>
      </c>
      <c r="E157" s="2">
        <f ca="1">EXP(B157)</f>
        <v>1.0334195798862686</v>
      </c>
      <c r="F157" s="2">
        <f ca="1">EXP(C157)</f>
        <v>1.5002539099166265</v>
      </c>
      <c r="G157" s="2">
        <f ca="1">EXP(D157)</f>
        <v>2.00081479698007</v>
      </c>
      <c r="H157" s="2">
        <f ca="1">SUM(E157:G157)</f>
        <v>4.534488286782965</v>
      </c>
      <c r="I157" s="2">
        <f ca="1">E157/'1'!$H157</f>
        <v>0.23619606053162329</v>
      </c>
      <c r="J157" s="2">
        <f ca="1">F157/H157</f>
        <v>0.33085407107336373</v>
      </c>
      <c r="K157" s="2">
        <f ca="1">G157/H157</f>
        <v>0.44124378991384866</v>
      </c>
      <c r="L157" s="2">
        <f ca="1">-Data!$M157*LOG(I157)</f>
        <v>0</v>
      </c>
      <c r="M157" s="2">
        <f ca="1">-Data!$N157*LOG(J157)</f>
        <v>0</v>
      </c>
      <c r="N157" s="2">
        <f ca="1">-Data!$O157*LOG(K157)</f>
        <v>0.35532139384236799</v>
      </c>
      <c r="O157" s="2">
        <f ca="1">SUM(L157:N157)</f>
        <v>0.35532139384236799</v>
      </c>
      <c r="P157" s="2"/>
      <c r="Q157" s="2">
        <f ca="1">(I157-'1'!Z157)*'1'!V157</f>
        <v>-1.708896465956011E-2</v>
      </c>
      <c r="R157" s="2">
        <f>('1'!$I157-Data!$M157)*'1'!W157</f>
        <v>6.4814814814814825E-2</v>
      </c>
      <c r="S157" s="2">
        <f>('1'!$I157-Data!$M157)*'1'!X157</f>
        <v>8.286252354048966E-2</v>
      </c>
      <c r="T157" s="2">
        <f>('1'!$I157-Data!$M157)*'1'!Y157</f>
        <v>0.10185185185185187</v>
      </c>
      <c r="U157" s="2">
        <f>('1'!$I157-Data!$M157)</f>
        <v>0.33333333333333337</v>
      </c>
      <c r="V157" s="2">
        <f>('1'!$J157-Data!$N157)*'1'!V157</f>
        <v>5.8641975308641993E-2</v>
      </c>
      <c r="W157" s="2">
        <f>('1'!$J157-Data!$N157)*'1'!W157</f>
        <v>6.4814814814814825E-2</v>
      </c>
      <c r="X157" s="2">
        <f>('1'!$J157-Data!$N157)*'1'!X157</f>
        <v>8.286252354048966E-2</v>
      </c>
      <c r="Y157" s="2">
        <f>('1'!$J157-Data!$N157)*'1'!Y157</f>
        <v>0.10185185185185187</v>
      </c>
      <c r="Z157" s="2">
        <f>('1'!$J157-Data!$N157)</f>
        <v>0.33333333333333337</v>
      </c>
      <c r="AA157" s="2">
        <f>('1'!$K157-Data!$O157)*'1'!V157</f>
        <v>-0.11728395061728397</v>
      </c>
      <c r="AB157" s="2">
        <f>('1'!$K157-Data!$O157)*'1'!W157</f>
        <v>-0.12962962962962962</v>
      </c>
      <c r="AC157" s="2">
        <f>('1'!$K157-Data!$O157)*'1'!X157</f>
        <v>-0.16572504708097929</v>
      </c>
      <c r="AD157" s="2">
        <f>('1'!$K157-Data!$O157)*'1'!Y157</f>
        <v>-0.20370370370370372</v>
      </c>
      <c r="AE157" s="2">
        <f>('1'!$K157-Data!$O157)</f>
        <v>-0.66666666666666663</v>
      </c>
    </row>
    <row r="158" spans="2:31" x14ac:dyDescent="0.25">
      <c r="B158" s="2">
        <f ca="1">B$2*Data!$I158+B$3*Data!$J158+B$4*Data!$K158+B$5*Data!$L158+B$6</f>
        <v>3.0330822199997345E-2</v>
      </c>
      <c r="C158" s="2">
        <f ca="1">C$2*Data!$I158+C$3*Data!$J158+C$4*Data!$K158+C$5*Data!$L158+C$6</f>
        <v>0.35581794907658598</v>
      </c>
      <c r="D158" s="2">
        <f ca="1">D$2*Data!$I158+D$3*Data!$J158+D$4*Data!$K158+D$5*Data!$L158+D$6</f>
        <v>0.59315913832793721</v>
      </c>
      <c r="E158" s="2">
        <f ca="1">EXP(B158)</f>
        <v>1.0307954875838421</v>
      </c>
      <c r="F158" s="2">
        <f ca="1">EXP(C158)</f>
        <v>1.4273476746472444</v>
      </c>
      <c r="G158" s="2">
        <f ca="1">EXP(D158)</f>
        <v>1.8096964758731313</v>
      </c>
      <c r="H158" s="2">
        <f ca="1">SUM(E158:G158)</f>
        <v>4.2678396381042178</v>
      </c>
      <c r="I158" s="2">
        <f ca="1">E158/'1'!$H158</f>
        <v>0.24790307487267652</v>
      </c>
      <c r="J158" s="2">
        <f ca="1">F158/H158</f>
        <v>0.33444266787898219</v>
      </c>
      <c r="K158" s="2">
        <f ca="1">G158/H158</f>
        <v>0.42403103896307637</v>
      </c>
      <c r="L158" s="2">
        <f ca="1">-Data!$M158*LOG(I158)</f>
        <v>0</v>
      </c>
      <c r="M158" s="2">
        <f ca="1">-Data!$N158*LOG(J158)</f>
        <v>0</v>
      </c>
      <c r="N158" s="2">
        <f ca="1">-Data!$O158*LOG(K158)</f>
        <v>0.37260235199922981</v>
      </c>
      <c r="O158" s="2">
        <f ca="1">SUM(L158:N158)</f>
        <v>0.37260235199922981</v>
      </c>
      <c r="P158" s="2"/>
      <c r="Q158" s="2">
        <f ca="1">(I158-'1'!Z158)*'1'!V158</f>
        <v>-1.2656334586763972E-2</v>
      </c>
      <c r="R158" s="2">
        <f>('1'!$I158-Data!$M158)*'1'!W158</f>
        <v>4.6296296296296287E-2</v>
      </c>
      <c r="S158" s="2">
        <f>('1'!$I158-Data!$M158)*'1'!X158</f>
        <v>7.7212806026365335E-2</v>
      </c>
      <c r="T158" s="2">
        <f>('1'!$I158-Data!$M158)*'1'!Y158</f>
        <v>7.8703703703703692E-2</v>
      </c>
      <c r="U158" s="2">
        <f>('1'!$I158-Data!$M158)</f>
        <v>0.33333333333333331</v>
      </c>
      <c r="V158" s="2">
        <f>('1'!$J158-Data!$N158)*'1'!V158</f>
        <v>4.938271604938272E-2</v>
      </c>
      <c r="W158" s="2">
        <f>('1'!$J158-Data!$N158)*'1'!W158</f>
        <v>4.6296296296296287E-2</v>
      </c>
      <c r="X158" s="2">
        <f>('1'!$J158-Data!$N158)*'1'!X158</f>
        <v>7.7212806026365335E-2</v>
      </c>
      <c r="Y158" s="2">
        <f>('1'!$J158-Data!$N158)*'1'!Y158</f>
        <v>7.8703703703703692E-2</v>
      </c>
      <c r="Z158" s="2">
        <f>('1'!$J158-Data!$N158)</f>
        <v>0.33333333333333331</v>
      </c>
      <c r="AA158" s="2">
        <f>('1'!$K158-Data!$O158)*'1'!V158</f>
        <v>-9.8765432098765454E-2</v>
      </c>
      <c r="AB158" s="2">
        <f>('1'!$K158-Data!$O158)*'1'!W158</f>
        <v>-9.2592592592592587E-2</v>
      </c>
      <c r="AC158" s="2">
        <f>('1'!$K158-Data!$O158)*'1'!X158</f>
        <v>-0.1544256120527307</v>
      </c>
      <c r="AD158" s="2">
        <f>('1'!$K158-Data!$O158)*'1'!Y158</f>
        <v>-0.15740740740740741</v>
      </c>
      <c r="AE158" s="2">
        <f>('1'!$K158-Data!$O158)</f>
        <v>-0.66666666666666674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George Stephens</cp:lastModifiedBy>
  <dcterms:created xsi:type="dcterms:W3CDTF">2024-06-11T13:00:10Z</dcterms:created>
  <dcterms:modified xsi:type="dcterms:W3CDTF">2024-06-11T15:30:19Z</dcterms:modified>
</cp:coreProperties>
</file>